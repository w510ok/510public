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tables/table24.xml" ContentType="application/vnd.openxmlformats-officedocument.spreadsheetml.table+xml"/>
  <Override PartName="/xl/worksheets/sheet30.xml" ContentType="application/vnd.openxmlformats-officedocument.spreadsheetml.worksheet+xml"/>
  <Override PartName="/xl/tables/table25.xml" ContentType="application/vnd.openxmlformats-officedocument.spreadsheetml.table+xml"/>
  <Override PartName="/xl/worksheets/sheet31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c1e7462dd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c3be354afbd74cf8"/>
    <x:sheet xmlns:r="http://schemas.openxmlformats.org/officeDocument/2006/relationships" name="01_百回主题表" sheetId="2" r:id="Ra36016102b674baa"/>
    <x:sheet xmlns:r="http://schemas.openxmlformats.org/officeDocument/2006/relationships" name="02_八十一难表" sheetId="3" r:id="R8003d5cd2c644f8e"/>
    <x:sheet xmlns:r="http://schemas.openxmlformats.org/officeDocument/2006/relationships" name="03_妖怪分类表" sheetId="4" r:id="Rf61ffe981852421a"/>
    <x:sheet xmlns:r="http://schemas.openxmlformats.org/officeDocument/2006/relationships" name="04_下一步任务清单" sheetId="5" r:id="R8d3dc3a1d77a43a4"/>
    <x:sheet xmlns:r="http://schemas.openxmlformats.org/officeDocument/2006/relationships" name="05_人物关系表" sheetId="6" r:id="R94736095ca5b432b"/>
    <x:sheet xmlns:r="http://schemas.openxmlformats.org/officeDocument/2006/relationships" name="06_专题观点表" sheetId="7" r:id="R775119d25a2040f7"/>
    <x:sheet xmlns:r="http://schemas.openxmlformats.org/officeDocument/2006/relationships" name="07_法宝表" sheetId="8" r:id="R80a6bca652c74888"/>
    <x:sheet xmlns:r="http://schemas.openxmlformats.org/officeDocument/2006/relationships" name="08_后台妖怪表" sheetId="9" r:id="R75ec62d0b4214099"/>
    <x:sheet xmlns:r="http://schemas.openxmlformats.org/officeDocument/2006/relationships" name="09_全书总览" sheetId="10" r:id="Rbf52d73e23514c99"/>
    <x:sheet xmlns:r="http://schemas.openxmlformats.org/officeDocument/2006/relationships" name="10_八十一难校核表" sheetId="11" r:id="R775d1eed813842c5"/>
    <x:sheet xmlns:r="http://schemas.openxmlformats.org/officeDocument/2006/relationships" name="11_原文摘录表" sheetId="12" r:id="R750891ad28364520"/>
    <x:sheet xmlns:r="http://schemas.openxmlformats.org/officeDocument/2006/relationships" name="12_校核看板" sheetId="13" r:id="Rd38053aba2a14df1"/>
    <x:sheet xmlns:r="http://schemas.openxmlformats.org/officeDocument/2006/relationships" name="13_专题摘录补强" sheetId="14" r:id="R3d96629529c643b1"/>
    <x:sheet xmlns:r="http://schemas.openxmlformats.org/officeDocument/2006/relationships" name="14_V2.2摘录看板" sheetId="15" r:id="R87c12aeb6d8b4a9a"/>
    <x:sheet xmlns:r="http://schemas.openxmlformats.org/officeDocument/2006/relationships" name="15_总图谱数据" sheetId="16" r:id="R5ba57cd8861f44ec"/>
    <x:sheet xmlns:r="http://schemas.openxmlformats.org/officeDocument/2006/relationships" name="16_后台妖怪矩阵" sheetId="17" r:id="R1f06a3dc5f084f85"/>
    <x:sheet xmlns:r="http://schemas.openxmlformats.org/officeDocument/2006/relationships" name="17_八十一难主题热力图" sheetId="18" r:id="R9a1fab56fc994ae7"/>
    <x:sheet xmlns:r="http://schemas.openxmlformats.org/officeDocument/2006/relationships" name="18_V2.3可视化看板" sheetId="19" r:id="Rea0752f713d643c0"/>
    <x:sheet xmlns:r="http://schemas.openxmlformats.org/officeDocument/2006/relationships" name="19_V2.5校注看板" sheetId="20" r:id="Rb9583affe4694e46"/>
    <x:sheet xmlns:r="http://schemas.openxmlformats.org/officeDocument/2006/relationships" name="20_八十一难正式校注" sheetId="21" r:id="R0ae6beb505be429e"/>
    <x:sheet xmlns:r="http://schemas.openxmlformats.org/officeDocument/2006/relationships" name="21_难数主题统计" sheetId="22" r:id="Rd27f8cdf881c4187"/>
    <x:sheet xmlns:r="http://schemas.openxmlformats.org/officeDocument/2006/relationships" name="22_V2.6补证看板" sheetId="23" r:id="R99b8b710aa9e4bf1"/>
    <x:sheet xmlns:r="http://schemas.openxmlformats.org/officeDocument/2006/relationships" name="23_二次补证清单" sheetId="24" r:id="Re16eba2d1a8946c0"/>
    <x:sheet xmlns:r="http://schemas.openxmlformats.org/officeDocument/2006/relationships" name="24_V2.6专题索引" sheetId="25" r:id="R6076ce58e23648d3"/>
    <x:sheet xmlns:r="http://schemas.openxmlformats.org/officeDocument/2006/relationships" name="25_V3.0校核总控" sheetId="26" r:id="R27d5be69e50a446a"/>
    <x:sheet xmlns:r="http://schemas.openxmlformats.org/officeDocument/2006/relationships" name="26_口径统一表" sheetId="27" r:id="R766298da9ebc4605"/>
    <x:sheet xmlns:r="http://schemas.openxmlformats.org/officeDocument/2006/relationships" name="27_原文引用规范" sheetId="28" r:id="R49fe3b4455a74509"/>
    <x:sheet xmlns:r="http://schemas.openxmlformats.org/officeDocument/2006/relationships" name="28_发布前校核清单" sheetId="29" r:id="Refb7e20568e64f29"/>
    <x:sheet xmlns:r="http://schemas.openxmlformats.org/officeDocument/2006/relationships" name="29_待复核问题清单" sheetId="30" r:id="R1102e0743e664093"/>
    <x:sheet xmlns:r="http://schemas.openxmlformats.org/officeDocument/2006/relationships" name="30_V5.0成果包目录" sheetId="31" r:id="Rb9662792c429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6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sz val="11"/>
      <x:color rgb="334155"/>
      <x:name val="Carlito"/>
    </x:font>
    <x:font>
      <x:b/>
      <x:sz val="11"/>
      <x:color rgb="78350F"/>
      <x:name val="Carlito"/>
    </x:font>
    <x:font>
      <x:b/>
      <x:sz val="11"/>
      <x:color rgb="7C2D12"/>
      <x:name val="Carlito"/>
    </x:font>
    <x:font>
      <x:b/>
      <x:sz val="18"/>
      <x:color rgb="FFFFFF"/>
      <x:name val="Carlito"/>
    </x:font>
    <x:font>
      <x:b/>
      <x:sz val="18"/>
      <x:color rgb="FFFFFF"/>
      <x:name val="Microsoft YaHei"/>
    </x:font>
    <x:font>
      <x:sz val="11"/>
      <x:name val="Microsoft YaHei"/>
    </x:font>
    <x:font>
      <x:b/>
      <x:sz val="11"/>
      <x:name val="Microsoft YaHei"/>
    </x:font>
    <x:font>
      <x:b/>
      <x:sz val="11"/>
      <x:color rgb="FFFFFF"/>
      <x:name val="Microsoft YaHei"/>
    </x:font>
    <x:font>
      <x:sz val="11"/>
      <x:color rgb="7C2D12"/>
      <x:name val="Carlito"/>
    </x:font>
    <x:font>
      <x:b/>
      <x:sz val="15"/>
      <x:color rgb="FFFFFF"/>
      <x:name val="Carlito"/>
    </x:font>
    <x:font>
      <x:sz val="11"/>
      <x:color rgb="1F2937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FEF3C7"/>
      </x:patternFill>
    </x:fill>
    <x:fill>
      <x:patternFill patternType="solid">
        <x:fgColor rgb="7C2D12"/>
      </x:patternFill>
    </x:fill>
    <x:fill>
      <x:patternFill patternType="solid">
        <x:fgColor rgb="7C2D12"/>
      </x:patternFill>
    </x:fill>
    <x:fill>
      <x:patternFill patternType="solid">
        <x:fgColor rgb="7C2D12"/>
      </x:patternFill>
    </x:fill>
    <x:fill>
      <x:patternFill patternType="solid">
        <x:fgColor rgb="3B2F2F"/>
      </x:patternFill>
    </x:fill>
    <x:fill>
      <x:patternFill patternType="solid">
        <x:fgColor rgb="78350F"/>
      </x:patternFill>
    </x:fill>
    <x:fill>
      <x:patternFill patternType="solid">
        <x:fgColor rgb="7C2D12"/>
      </x:patternFill>
    </x:fill>
    <x:fill>
      <x:patternFill patternType="solid">
        <x:fgColor rgb="4F2E18"/>
      </x:patternFill>
    </x:fill>
    <x:fill>
      <x:patternFill patternType="solid">
        <x:fgColor rgb="7C2D12"/>
      </x:patternFill>
    </x:fill>
    <x:fill>
      <x:patternFill patternType="solid">
        <x:fgColor rgb="7C2D12"/>
      </x:patternFill>
    </x:fill>
    <x:fill>
      <x:patternFill patternType="solid">
        <x:fgColor rgb="7C2D12"/>
      </x:patternFill>
    </x:fill>
    <x:fill>
      <x:patternFill patternType="solid">
        <x:fgColor rgb="7C2D12"/>
      </x:patternFill>
    </x:fill>
    <x:fill>
      <x:patternFill patternType="solid">
        <x:fgColor rgb="7C2D12"/>
      </x:patternFill>
    </x:fill>
    <x:fill>
      <x:patternFill patternType="solid">
        <x:fgColor rgb="9A3412"/>
      </x:patternFill>
    </x:fill>
    <x:fill>
      <x:patternFill patternType="solid">
        <x:fgColor rgb="FDBA74"/>
      </x:patternFill>
    </x:fill>
    <x:fill>
      <x:patternFill patternType="solid">
        <x:fgColor rgb="7C2D12"/>
      </x:patternFill>
    </x:fill>
    <x:fill>
      <x:patternFill patternType="solid">
        <x:fgColor rgb="365314"/>
      </x:patternFill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FFFBEB"/>
      </x:patternFill>
    </x:fill>
    <x:fill>
      <x:patternFill patternType="solid">
        <x:fgColor rgb="7C2D12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FFF7ED"/>
      </x:patternFill>
    </x:fill>
    <x:fill>
      <x:patternFill patternType="solid">
        <x:fgColor rgb="7C2D12"/>
      </x:patternFill>
    </x:fill>
    <x:fill>
      <x:patternFill patternType="solid">
        <x:fgColor rgb="0F766E"/>
      </x:patternFill>
    </x:fill>
    <x:fill>
      <x:patternFill patternType="solid">
        <x:fgColor rgb="3B1D0A"/>
      </x:patternFill>
    </x:fill>
    <x:fill>
      <x:patternFill patternType="solid">
        <x:fgColor rgb="FDE68A"/>
      </x:patternFill>
    </x:fill>
    <x:fill>
      <x:patternFill patternType="solid">
        <x:fgColor rgb="431407"/>
      </x:patternFill>
    </x:fill>
    <x:fill>
      <x:patternFill patternType="solid">
        <x:fgColor rgb="7C2D12"/>
      </x:patternFill>
    </x:fill>
    <x:fill>
      <x:patternFill patternType="solid">
        <x:fgColor rgb="FDE68A"/>
      </x:patternFill>
    </x:fill>
    <x:fill>
      <x:patternFill patternType="solid">
        <x:fgColor rgb="FFF7ED"/>
      </x:patternFill>
    </x:fill>
    <x:fill>
      <x:patternFill patternType="solid">
        <x:fgColor rgb="1E3A5F"/>
      </x:patternFill>
    </x:fill>
    <x:fill>
      <x:patternFill patternType="solid">
        <x:fgColor rgb="F3F7FA"/>
      </x:patternFill>
    </x:fill>
    <x:fill>
      <x:patternFill patternType="solid">
        <x:fgColor rgb="325D79"/>
      </x:patternFill>
    </x:fill>
  </x:fills>
  <x:borders count="2">
    <x:border/>
    <x:border/>
  </x:borders>
  <x:cellStyleXfs count="1">
    <x:xf numFmtId="0" fontId="0" fillId="0" borderId="0"/>
  </x:cellStyleXfs>
  <x:cellXfs count="2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vertical="top" wrapText="1"/>
    </x:xf>
    <x:xf numFmtId="0" fontId="3" fillId="16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3" fillId="19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21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0" fillId="23" borderId="0" xfId="0" applyNumberFormat="1" applyFont="1" applyFill="1" applyBorder="1"/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center"/>
    </x:xf>
    <x:xf numFmtId="0" fontId="1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horizont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6" fillId="27" borderId="0" xfId="0" applyNumberFormat="1" applyFont="1" applyFill="1" applyBorder="1" applyAlignment="1">
      <x:alignment wrapText="1"/>
    </x:xf>
    <x:xf numFmtId="0" fontId="6" fillId="27" borderId="0" xfId="0" applyNumberFormat="1" applyFont="1" applyFill="1" applyBorder="1" applyAlignment="1">
      <x:alignment horizontal="center"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horizontal="center" wrapText="1"/>
    </x:xf>
    <x:xf numFmtId="0" fontId="7" fillId="28" borderId="0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horizontal="center"/>
    </x:xf>
    <x:xf numFmtId="0" fontId="3" fillId="29" borderId="0" xfId="0" applyNumberFormat="1" applyFont="1" applyFill="1" applyBorder="1" applyAlignment="1">
      <x:alignment horizontal="center" vertical="center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3" fillId="29" borderId="0" xfId="0" applyNumberFormat="1" applyFont="1" applyFill="1" applyBorder="1" applyAlignment="1">
      <x:alignment horizontal="center" vertical="top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horizontal="center"/>
    </x:xf>
    <x:xf numFmtId="0" fontId="3" fillId="30" borderId="0" xfId="0" applyNumberFormat="1" applyFont="1" applyFill="1" applyBorder="1" applyAlignment="1">
      <x:alignment horizontal="center" wrapText="1"/>
    </x:xf>
    <x:xf numFmtId="0" fontId="0" fillId="31" borderId="0" xfId="0" applyNumberFormat="1" applyFont="1" applyFill="1" applyBorder="1"/>
    <x:xf numFmtId="0" fontId="8" fillId="31" borderId="0" xfId="0" applyNumberFormat="1" applyFont="1" applyFill="1" applyBorder="1"/>
    <x:xf numFmtId="0" fontId="8" fillId="31" borderId="0" xfId="0" applyNumberFormat="1" applyFont="1" applyFill="1" applyBorder="1" applyAlignment="1">
      <x:alignment horizontal="center"/>
    </x:xf>
    <x:xf numFmtId="0" fontId="8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 applyAlignment="1">
      <x:alignment wrapText="1"/>
    </x:xf>
    <x:xf numFmtId="0" fontId="2" fillId="32" borderId="0" xfId="0" applyNumberFormat="1" applyFont="1" applyFill="1" applyBorder="1" applyAlignment="1">
      <x:alignment wrapText="1"/>
    </x:xf>
    <x:xf numFmtId="0" fontId="2" fillId="32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wrapText="1"/>
    </x:xf>
    <x:xf numFmtId="0" fontId="9" fillId="31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32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wrapText="1"/>
    </x:xf>
    <x:xf numFmtId="0" fontId="12" fillId="29" borderId="0" xfId="0" applyNumberFormat="1" applyFont="1" applyFill="1" applyBorder="1" applyAlignment="1">
      <x:alignment horizontal="center" wrapText="1"/>
    </x:xf>
    <x:xf numFmtId="0" fontId="12" fillId="30" borderId="0" xfId="0" applyNumberFormat="1" applyFont="1" applyFill="1" applyBorder="1" applyAlignment="1">
      <x:alignment horizontal="center" wrapText="1"/>
    </x:xf>
    <x:xf numFmtId="200" fontId="10" fillId="0" borderId="0" xfId="0" applyNumberFormat="1" applyFont="1" applyFill="1" applyBorder="1" applyAlignment="1">
      <x:alignment wrapText="1"/>
    </x:xf>
    <x:xf numFmtId="0" fontId="12" fillId="29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horizontal="center" wrapText="1"/>
    </x:xf>
    <x:xf numFmtId="0" fontId="12" fillId="21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vertical="top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horizontal="center"/>
    </x:xf>
    <x:xf numFmtId="0" fontId="1" fillId="33" borderId="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3" fillId="34" borderId="0" xfId="0" applyNumberFormat="1" applyFont="1" applyFill="1" applyBorder="1" applyAlignment="1">
      <x:alignment horizontal="center" wrapText="1"/>
    </x:xf>
    <x:xf numFmtId="0" fontId="3" fillId="34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6" fillId="35" borderId="0" xfId="0" applyNumberFormat="1" applyFont="1" applyFill="1" applyBorder="1"/>
    <x:xf numFmtId="0" fontId="6" fillId="35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horizontal="center" wrapText="1"/>
    </x:xf>
    <x:xf numFmtId="0" fontId="6" fillId="35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13" fillId="36" borderId="0" xfId="0" applyNumberFormat="1" applyFont="1" applyFill="1" applyBorder="1"/>
    <x:xf numFmtId="0" fontId="13" fillId="36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 applyAlignment="1">
      <x:alignment vertical="top" wrapText="1"/>
    </x:xf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horizontal="center"/>
    </x:xf>
    <x:xf numFmtId="0" fontId="14" fillId="3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6" fillId="32" borderId="0" xfId="0" applyNumberFormat="1" applyFont="1" applyFill="1" applyBorder="1"/>
    <x:xf numFmtId="0" fontId="6" fillId="32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horizontal="center" wrapText="1"/>
    </x:xf>
    <x:xf numFmtId="0" fontId="6" fillId="32" borderId="0" xfId="0" applyNumberFormat="1" applyFont="1" applyFill="1" applyBorder="1" applyAlignment="1">
      <x:alignment horizontal="center" vertical="center" wrapText="1"/>
    </x:xf>
    <x:xf numFmtId="0" fontId="13" fillId="28" borderId="0" xfId="0" applyNumberFormat="1" applyFont="1" applyFill="1" applyBorder="1"/>
    <x:xf numFmtId="0" fontId="13" fillId="28" borderId="0" xfId="0" applyNumberFormat="1" applyFont="1" applyFill="1" applyBorder="1" applyAlignment="1">
      <x:alignment wrapText="1"/>
    </x:xf>
    <x:xf numFmtId="0" fontId="13" fillId="28" borderId="0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horizontal="center"/>
    </x:xf>
    <x:xf numFmtId="0" fontId="1" fillId="37" borderId="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15" fillId="38" borderId="0" xfId="0" applyNumberFormat="1" applyFont="1" applyFill="1" applyBorder="1"/>
    <x:xf numFmtId="0" fontId="15" fillId="38" borderId="0" xfId="0" applyNumberFormat="1" applyFont="1" applyFill="1" applyBorder="1" applyAlignment="1">
      <x:alignment vertical="top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horizontal="center"/>
    </x:xf>
    <x:xf numFmtId="0" fontId="3" fillId="39" borderId="0" xfId="0" applyNumberFormat="1" applyFont="1" applyFill="1" applyBorder="1" applyAlignment="1">
      <x:alignment horizontal="center" vertical="center"/>
    </x:xf>
    <x:xf numFmtId="0" fontId="1" fillId="37" borderId="0" xfId="0" applyNumberFormat="1" applyFont="1" applyFill="1" applyBorder="1" applyAlignment="1">
      <x:alignment horizontal="center" vertical="center" wrapText="1"/>
    </x:xf>
    <x:xf numFmtId="0" fontId="15" fillId="38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horizontal="center" wrapText="1"/>
    </x:xf>
    <x:xf numFmtId="0" fontId="0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8"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100b25d4b40ec" /><Relationship Type="http://schemas.openxmlformats.org/officeDocument/2006/relationships/theme" Target="/xl/theme/theme1.xml" Id="R5c01b41399ee4e92" /><Relationship Type="http://schemas.openxmlformats.org/officeDocument/2006/relationships/sharedStrings" Target="/xl/sharedStrings.xml" Id="Rd3da686495cb4250" /><Relationship Type="http://schemas.openxmlformats.org/officeDocument/2006/relationships/worksheet" Target="/xl/worksheets/sheet1.xml" Id="Rc3be354afbd74cf8" /><Relationship Type="http://schemas.openxmlformats.org/officeDocument/2006/relationships/worksheet" Target="/xl/worksheets/sheet2.xml" Id="Ra36016102b674baa" /><Relationship Type="http://schemas.openxmlformats.org/officeDocument/2006/relationships/worksheet" Target="/xl/worksheets/sheet3.xml" Id="R8003d5cd2c644f8e" /><Relationship Type="http://schemas.openxmlformats.org/officeDocument/2006/relationships/worksheet" Target="/xl/worksheets/sheet4.xml" Id="Rf61ffe981852421a" /><Relationship Type="http://schemas.openxmlformats.org/officeDocument/2006/relationships/worksheet" Target="/xl/worksheets/sheet5.xml" Id="R8d3dc3a1d77a43a4" /><Relationship Type="http://schemas.openxmlformats.org/officeDocument/2006/relationships/worksheet" Target="/xl/worksheets/sheet6.xml" Id="R94736095ca5b432b" /><Relationship Type="http://schemas.openxmlformats.org/officeDocument/2006/relationships/worksheet" Target="/xl/worksheets/sheet7.xml" Id="R775119d25a2040f7" /><Relationship Type="http://schemas.openxmlformats.org/officeDocument/2006/relationships/worksheet" Target="/xl/worksheets/sheet8.xml" Id="R80a6bca652c74888" /><Relationship Type="http://schemas.openxmlformats.org/officeDocument/2006/relationships/worksheet" Target="/xl/worksheets/sheet9.xml" Id="R75ec62d0b4214099" /><Relationship Type="http://schemas.openxmlformats.org/officeDocument/2006/relationships/worksheet" Target="/xl/worksheets/sheet10.xml" Id="Rbf52d73e23514c99" /><Relationship Type="http://schemas.openxmlformats.org/officeDocument/2006/relationships/worksheet" Target="/xl/worksheets/sheet11.xml" Id="R775d1eed813842c5" /><Relationship Type="http://schemas.openxmlformats.org/officeDocument/2006/relationships/worksheet" Target="/xl/worksheets/sheet12.xml" Id="R750891ad28364520" /><Relationship Type="http://schemas.openxmlformats.org/officeDocument/2006/relationships/worksheet" Target="/xl/worksheets/sheet13.xml" Id="Rd38053aba2a14df1" /><Relationship Type="http://schemas.openxmlformats.org/officeDocument/2006/relationships/worksheet" Target="/xl/worksheets/sheet14.xml" Id="R3d96629529c643b1" /><Relationship Type="http://schemas.openxmlformats.org/officeDocument/2006/relationships/worksheet" Target="/xl/worksheets/sheet15.xml" Id="R87c12aeb6d8b4a9a" /><Relationship Type="http://schemas.openxmlformats.org/officeDocument/2006/relationships/worksheet" Target="/xl/worksheets/sheet16.xml" Id="R5ba57cd8861f44ec" /><Relationship Type="http://schemas.openxmlformats.org/officeDocument/2006/relationships/worksheet" Target="/xl/worksheets/sheet17.xml" Id="R1f06a3dc5f084f85" /><Relationship Type="http://schemas.openxmlformats.org/officeDocument/2006/relationships/worksheet" Target="/xl/worksheets/sheet18.xml" Id="R9a1fab56fc994ae7" /><Relationship Type="http://schemas.openxmlformats.org/officeDocument/2006/relationships/worksheet" Target="/xl/worksheets/sheet19.xml" Id="Rea0752f713d643c0" /><Relationship Type="http://schemas.openxmlformats.org/officeDocument/2006/relationships/worksheet" Target="/xl/worksheets/sheet20.xml" Id="Rb9583affe4694e46" /><Relationship Type="http://schemas.openxmlformats.org/officeDocument/2006/relationships/worksheet" Target="/xl/worksheets/sheet21.xml" Id="R0ae6beb505be429e" /><Relationship Type="http://schemas.openxmlformats.org/officeDocument/2006/relationships/worksheet" Target="/xl/worksheets/sheet22.xml" Id="Rd27f8cdf881c4187" /><Relationship Type="http://schemas.openxmlformats.org/officeDocument/2006/relationships/worksheet" Target="/xl/worksheets/sheet23.xml" Id="R99b8b710aa9e4bf1" /><Relationship Type="http://schemas.openxmlformats.org/officeDocument/2006/relationships/worksheet" Target="/xl/worksheets/sheet24.xml" Id="Re16eba2d1a8946c0" /><Relationship Type="http://schemas.openxmlformats.org/officeDocument/2006/relationships/worksheet" Target="/xl/worksheets/sheet25.xml" Id="R6076ce58e23648d3" /><Relationship Type="http://schemas.openxmlformats.org/officeDocument/2006/relationships/worksheet" Target="/xl/worksheets/sheet26.xml" Id="R27d5be69e50a446a" /><Relationship Type="http://schemas.openxmlformats.org/officeDocument/2006/relationships/worksheet" Target="/xl/worksheets/sheet27.xml" Id="R766298da9ebc4605" /><Relationship Type="http://schemas.openxmlformats.org/officeDocument/2006/relationships/worksheet" Target="/xl/worksheets/sheet28.xml" Id="R49fe3b4455a74509" /><Relationship Type="http://schemas.openxmlformats.org/officeDocument/2006/relationships/worksheet" Target="/xl/worksheets/sheet29.xml" Id="Refb7e20568e64f29" /><Relationship Type="http://schemas.openxmlformats.org/officeDocument/2006/relationships/worksheet" Target="/xl/worksheets/sheet30.xml" Id="R1102e0743e664093" /><Relationship Type="http://schemas.openxmlformats.org/officeDocument/2006/relationships/worksheet" Target="/xl/worksheets/sheet31.xml" Id="Rb9662792c42942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f880f1dc5f48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25303d6bd094811" /><Relationship Type="http://schemas.openxmlformats.org/officeDocument/2006/relationships/chart" Target="/xl/drawings/charts/chart3.xml" Id="Ra2953aafc6d9477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210f932c4544d9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b8b2f673525482d" /><Relationship Type="http://schemas.openxmlformats.org/officeDocument/2006/relationships/chart" Target="/xl/drawings/charts/chart6.xml" Id="R5e09196850ef4df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53d2a6dffa049c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难数</c:v>
          </c:tx>
          <c:cat>
            <c:strRef>
              <c:f>'17_八十一难主题热力图'!$M$6:$M$13</c:f>
              <c:strCache>
                <c:ptCount val="0"/>
              </c:strCache>
            </c:strRef>
          </c:cat>
          <c:val>
            <c:numRef>
              <c:f>'17_八十一难主题热力图'!$N$6:$N$13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关系度数</c:v>
          </c:tx>
          <c:cat>
            <c:strRef>
              <c:f>'18_V2.3可视化看板'!$A$12:$A$21</c:f>
              <c:strCache>
                <c:ptCount val="0"/>
              </c:strCache>
            </c:strRef>
          </c:cat>
          <c:val>
            <c:numRef>
              <c:f>'18_V2.3可视化看板'!$B$12:$B$21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样本数</c:v>
          </c:tx>
          <c:cat>
            <c:strRef>
              <c:f>'18_V2.3可视化看板'!$D$12:$D$17</c:f>
              <c:strCache>
                <c:ptCount val="0"/>
              </c:strCache>
            </c:strRef>
          </c:cat>
          <c:val>
            <c:numRef>
              <c:f>'18_V2.3可视化看板'!$E$12:$E$17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八十一难主题大类分布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'19_V2.5校注看板'!$A$11:$A$19</c:f>
              <c:strCache>
                <c:ptCount val="0"/>
              </c:strCache>
            </c:strRef>
          </c:cat>
          <c:val>
            <c:numRef>
              <c:f>'19_V2.5校注看板'!$B$11:$B$19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八十一难主题分布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'21_难数主题统计'!$B$2:$B$10</c:f>
              <c:strCache>
                <c:ptCount val="0"/>
              </c:strCache>
            </c:strRef>
          </c:cat>
          <c:val>
            <c:numRef>
              <c:f>'21_难数主题统计'!$C$2:$C$10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八十一难叙事阶段分布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'21_难数主题统计'!$B$11:$B$18</c:f>
              <c:strCache>
                <c:ptCount val="0"/>
              </c:strCache>
            </c:strRef>
          </c:cat>
          <c:val>
            <c:numRef>
              <c:f>'21_难数主题统计'!$C$11:$C$18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状态数量</c:v>
          </c:tx>
          <c:cat>
            <c:strRef>
              <c:f>'28_发布前校核清单'!$A$21:$A$24</c:f>
              <c:strCache>
                <c:ptCount val="0"/>
              </c:strCache>
            </c:strRef>
          </c:cat>
          <c:val>
            <c:numRef>
              <c:f>'28_发布前校核清单'!$B$21:$B$24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15</xdr:row>
      <xdr:rowOff>0</xdr:rowOff>
    </xdr:from>
    <xdr:ext cx="4953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f880f1dc5f486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11</xdr:col>
      <xdr:colOff>0</xdr:colOff>
      <xdr:row>3</xdr:row>
      <xdr:rowOff>0</xdr:rowOff>
    </xdr:from>
    <xdr:ext cx="4572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5303d6bd094811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4572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953aafc6d9477c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10f932c4544d9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8b2f673525482d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09196850ef4df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3d2a6dffa049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ationsTable" displayName="RelationsTable" ref="A1:L19" headerRowCount="1">
  <x:tableColumns count="12">
    <x:tableColumn id="1" name="编号"/>
    <x:tableColumn id="2" name="人物A"/>
    <x:tableColumn id="3" name="关系类型"/>
    <x:tableColumn id="4" name="人物B"/>
    <x:tableColumn id="5" name="出现回次"/>
    <x:tableColumn id="6" name="A所属系统"/>
    <x:tableColumn id="7" name="B所属系统"/>
    <x:tableColumn id="8" name="关系说明"/>
    <x:tableColumn id="9" name="研究意义"/>
    <x:tableColumn id="10" name="可视化层级/边类型"/>
    <x:tableColumn id="11" name="证据状态"/>
    <x:tableColumn id="12" name="来源URL"/>
  </x:tableColumns>
  <x:tableStyleInfo name="TableStyleMedium2" showRowStripes="1"/>
</x:table>
</file>

<file path=xl/tables/table2.xml><?xml version="1.0" encoding="utf-8"?>
<x:table xmlns:x="http://schemas.openxmlformats.org/spreadsheetml/2006/main" id="2" name="Formal81Difficulties" displayName="Formal81Difficulties" ref="A1:M82" headerRowCount="1">
  <x:tableColumns count="13">
    <x:tableColumn id="1" name="难次"/>
    <x:tableColumn id="2" name="第99回难名"/>
    <x:tableColumn id="3" name="关联回目"/>
    <x:tableColumn id="4" name="叙事单元/事件"/>
    <x:tableColumn id="5" name="V2.0条目对照"/>
    <x:tableColumn id="6" name="校核状态"/>
    <x:tableColumn id="7" name="主题分类"/>
    <x:tableColumn id="8" name="风险类型"/>
    <x:tableColumn id="9" name="主要人物/对象"/>
    <x:tableColumn id="10" name="证据定位"/>
    <x:tableColumn id="11" name="后续校核要点"/>
    <x:tableColumn id="12" name="来源URL"/>
    <x:tableColumn id="13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OriginalExcerpts" displayName="OriginalExcerpts" ref="A1:I36" headerRowCount="1">
  <x:tableColumns count="9">
    <x:tableColumn id="1" name="摘录ID"/>
    <x:tableColumn id="2" name="回目"/>
    <x:tableColumn id="3" name="摘录/定位"/>
    <x:tableColumn id="4" name="摘录类型"/>
    <x:tableColumn id="5" name="关联难次/专题"/>
    <x:tableColumn id="6" name="可支撑观点"/>
    <x:tableColumn id="7" name="校核状态"/>
    <x:tableColumn id="8" name="来源URL"/>
    <x:tableColumn id="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opicEvidenceV22" displayName="TopicEvidenceV22" ref="A1:L33" headerRowCount="1">
  <x:tableColumns count="12">
    <x:tableColumn id="1" name="专题编号"/>
    <x:tableColumn id="2" name="专题名称"/>
    <x:tableColumn id="3" name="证据链序号"/>
    <x:tableColumn id="4" name="回目"/>
    <x:tableColumn id="5" name="关键场景"/>
    <x:tableColumn id="6" name="原文短摘"/>
    <x:tableColumn id="7" name="证据类型"/>
    <x:tableColumn id="8" name="关键人物/对象"/>
    <x:tableColumn id="9" name="可支撑观点"/>
    <x:tableColumn id="10" name="可写文章标题"/>
    <x:tableColumn id="11" name="来源URL"/>
    <x:tableColumn id="12" name="校核状态"/>
  </x:tableColumns>
  <x:tableStyleInfo name="TableStyleMedium2" showRowStripes="1"/>
</x:table>
</file>

<file path=xl/tables/table5.xml><?xml version="1.0" encoding="utf-8"?>
<x:table xmlns:x="http://schemas.openxmlformats.org/spreadsheetml/2006/main" id="5" name="V22DashboardTable" displayName="V22DashboardTable" ref="A3:H8" headerRowCount="1">
  <x:tableColumns count="8">
    <x:tableColumn id="1" name="指标"/>
    <x:tableColumn id="2" name="数值"/>
    <x:tableColumn id="3" name="说明"/>
    <x:tableColumn id="4" name="Column4"/>
    <x:tableColumn id="5" name="专题"/>
    <x:tableColumn id="6" name="新增摘录数"/>
    <x:tableColumn id="7" name="核心价值"/>
    <x:tableColumn id="8" name="下一步"/>
  </x:tableColumns>
  <x:tableStyleInfo name="TableStyleMedium2" showRowStripes="1"/>
</x:table>
</file>

<file path=xl/tables/table6.xml><?xml version="1.0" encoding="utf-8"?>
<x:table xmlns:x="http://schemas.openxmlformats.org/spreadsheetml/2006/main" id="6" name="NodesTable" displayName="NodesTable" ref="A5:E85" headerRowCount="1">
  <x:tableColumns count="5">
    <x:tableColumn id="1" name="节点"/>
    <x:tableColumn id="2" name="所属系统"/>
    <x:tableColumn id="3" name="关系度数"/>
    <x:tableColumn id="4" name="图谱层级建议"/>
    <x:tableColumn id="5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EdgesTable" displayName="EdgesTable" ref="G5:P85" headerRowCount="1">
  <x:tableColumns count="10">
    <x:tableColumn id="1" name="编号"/>
    <x:tableColumn id="2" name="起点"/>
    <x:tableColumn id="3" name="关系类型"/>
    <x:tableColumn id="4" name="终点"/>
    <x:tableColumn id="5" name="回次"/>
    <x:tableColumn id="6" name="起点系统"/>
    <x:tableColumn id="7" name="终点系统"/>
    <x:tableColumn id="8" name="边层级"/>
    <x:tableColumn id="9" name="证据状态"/>
    <x:tableColumn id="10" name="来源URL"/>
  </x:tableColumns>
  <x:tableStyleInfo name="TableStyleMedium2" showRowStripes="1"/>
</x:table>
</file>

<file path=xl/tables/table8.xml><?xml version="1.0" encoding="utf-8"?>
<x:table xmlns:x="http://schemas.openxmlformats.org/spreadsheetml/2006/main" id="8" name="EdgeTypeTable" displayName="EdgeTypeTable" ref="A90:C110" headerRowCount="1">
  <x:tableColumns count="3">
    <x:tableColumn id="1" name="关系类型"/>
    <x:tableColumn id="2" name="数量"/>
    <x:tableColumn id="3" name="图谱含义"/>
  </x:tableColumns>
  <x:tableStyleInfo name="TableStyleMedium2" showRowStripes="1"/>
</x:table>
</file>

<file path=xl/tables/table9.xml><?xml version="1.0" encoding="utf-8"?>
<x:table xmlns:x="http://schemas.openxmlformats.org/spreadsheetml/2006/main" id="9" name="SystemCrossTable" displayName="SystemCrossTable" ref="E90:H120" headerRowCount="1">
  <x:tableColumns count="4">
    <x:tableColumn id="1" name="系统A"/>
    <x:tableColumn id="2" name="系统B"/>
    <x:tableColumn id="3" name="关系数量"/>
    <x:tableColumn id="4" name="解读"/>
  </x:tableColumns>
  <x:tableStyleInfo name="TableStyleMedium2" showRowStripes="1"/>
</x:table>
</file>

<file path=xl/tables/table10.xml><?xml version="1.0" encoding="utf-8"?>
<x:table xmlns:x="http://schemas.openxmlformats.org/spreadsheetml/2006/main" id="10" name="BackendMatrixTable" displayName="BackendMatrixTable" ref="A4:M43" headerRowCount="1">
  <x:tableColumns count="13">
    <x:tableColumn id="1" name="编号"/>
    <x:tableColumn id="2" name="对象"/>
    <x:tableColumn id="3" name="出现回次"/>
    <x:tableColumn id="4" name="后台/来源系统"/>
    <x:tableColumn id="5" name="后台类型"/>
    <x:tableColumn id="6" name="风险等级(1-5)"/>
    <x:tableColumn id="7" name="风险类型归并"/>
    <x:tableColumn id="8" name="收束者"/>
    <x:tableColumn id="9" name="收束层级"/>
    <x:tableColumn id="10" name="专题价值"/>
    <x:tableColumn id="11" name="是否典型后台"/>
    <x:tableColumn id="12" name="证据状态"/>
    <x:tableColumn id="13" name="来源URL"/>
  </x:tableColumns>
  <x:tableStyleInfo name="TableStyleMedium2" showRowStripes="1"/>
</x:table>
</file>

<file path=xl/tables/table11.xml><?xml version="1.0" encoding="utf-8"?>
<x:table xmlns:x="http://schemas.openxmlformats.org/spreadsheetml/2006/main" id="11" name="BackendSummaryTable" displayName="BackendSummaryTable" ref="A48:C54" headerRowCount="1">
  <x:tableColumns count="3">
    <x:tableColumn id="1" name="风险类型归并"/>
    <x:tableColumn id="2" name="样本数"/>
    <x:tableColumn id="3" name="解读"/>
  </x:tableColumns>
  <x:tableStyleInfo name="TableStyleMedium2" showRowStripes="1"/>
</x:table>
</file>

<file path=xl/tables/table12.xml><?xml version="1.0" encoding="utf-8"?>
<x:table xmlns:x="http://schemas.openxmlformats.org/spreadsheetml/2006/main" id="12" name="ThemeHeatmapTable" displayName="ThemeHeatmapTable" ref="A4:K12" headerRowCount="1">
  <x:tableColumns count="11">
    <x:tableColumn id="1" name="阶段"/>
    <x:tableColumn id="2" name="阶段说明"/>
    <x:tableColumn id="3" name="心性/因果/成果"/>
    <x:tableColumn id="4" name="团队/协同/信任"/>
    <x:tableColumn id="5" name="后台/法宝/收束"/>
    <x:tableColumn id="6" name="制度/王权/合法性"/>
    <x:tableColumn id="7" name="欲望/身体/身份"/>
    <x:tableColumn id="8" name="环境/民生/资源"/>
    <x:tableColumn id="9" name="妖怪/战斗风险"/>
    <x:tableColumn id="10" name="其他"/>
    <x:tableColumn id="11" name="合计"/>
  </x:tableColumns>
  <x:tableStyleInfo name="TableStyleMedium2" showRowStripes="1"/>
</x:table>
</file>

<file path=xl/tables/table13.xml><?xml version="1.0" encoding="utf-8"?>
<x:table xmlns:x="http://schemas.openxmlformats.org/spreadsheetml/2006/main" id="13" name="DifficultyThemeDetailTable" displayName="DifficultyThemeDetailTable" ref="A17:I98" headerRowCount="1">
  <x:tableColumns count="9">
    <x:tableColumn id="1" name="难次"/>
    <x:tableColumn id="2" name="第99回难名"/>
    <x:tableColumn id="3" name="关联回目"/>
    <x:tableColumn id="4" name="阶段"/>
    <x:tableColumn id="5" name="主题大类"/>
    <x:tableColumn id="6" name="原主题分类"/>
    <x:tableColumn id="7" name="风险类型"/>
    <x:tableColumn id="8" name="主要人物/对象"/>
    <x:tableColumn id="9" name="证据状态"/>
  </x:tableColumns>
  <x:tableStyleInfo name="TableStyleMedium2" showRowStripes="1"/>
</x:table>
</file>

<file path=xl/tables/table14.xml><?xml version="1.0" encoding="utf-8"?>
<x:table xmlns:x="http://schemas.openxmlformats.org/spreadsheetml/2006/main" id="14" name="ThemeTotalTable" displayName="ThemeTotalTable" ref="M5:O13" headerRowCount="1">
  <x:tableColumns count="3">
    <x:tableColumn id="1" name="主题大类"/>
    <x:tableColumn id="2" name="难数"/>
    <x:tableColumn id="3" name="占比"/>
  </x:tableColumns>
  <x:tableStyleInfo name="TableStyleMedium2" showRowStripes="1"/>
</x:table>
</file>

<file path=xl/tables/table15.xml><?xml version="1.0" encoding="utf-8"?>
<x:table xmlns:x="http://schemas.openxmlformats.org/spreadsheetml/2006/main" id="15" name="DashboardTopNodes" displayName="DashboardTopNodes" ref="A11:B21" headerRowCount="1">
  <x:tableColumns count="2">
    <x:tableColumn id="1" name="节点"/>
    <x:tableColumn id="2" name="关系度数"/>
  </x:tableColumns>
  <x:tableStyleInfo name="TableStyleMedium2" showRowStripes="1"/>
</x:table>
</file>

<file path=xl/tables/table16.xml><?xml version="1.0" encoding="utf-8"?>
<x:table xmlns:x="http://schemas.openxmlformats.org/spreadsheetml/2006/main" id="16" name="DashboardBackendGroups" displayName="DashboardBackendGroups" ref="D11:F17" headerRowCount="1">
  <x:tableColumns count="3">
    <x:tableColumn id="1" name="风险类型归并"/>
    <x:tableColumn id="2" name="样本数"/>
    <x:tableColumn id="3" name="解读"/>
  </x:tableColumns>
  <x:tableStyleInfo name="TableStyleMedium2" showRowStripes="1"/>
</x:table>
</file>

<file path=xl/tables/table17.xml><?xml version="1.0" encoding="utf-8"?>
<x:table xmlns:x="http://schemas.openxmlformats.org/spreadsheetml/2006/main" id="17" name="DashboardThemeTotals" displayName="DashboardThemeTotals" ref="H11:J19" headerRowCount="1">
  <x:tableColumns count="3">
    <x:tableColumn id="1" name="主题大类"/>
    <x:tableColumn id="2" name="难数"/>
    <x:tableColumn id="3" name="占比"/>
  </x:tableColumns>
  <x:tableStyleInfo name="TableStyleMedium2" showRowStripes="1"/>
</x:table>
</file>

<file path=xl/tables/table18.xml><?xml version="1.0" encoding="utf-8"?>
<x:table xmlns:x="http://schemas.openxmlformats.org/spreadsheetml/2006/main" id="18" name="DashboardNextSteps" displayName="DashboardNextSteps" ref="A26:C31" headerRowCount="1">
  <x:tableColumns count="3">
    <x:tableColumn id="1" name="下一步建议"/>
    <x:tableColumn id="2" name="具体动作"/>
    <x:tableColumn id="3" name="产出"/>
  </x:tableColumns>
  <x:tableStyleInfo name="TableStyleMedium2" showRowStripes="1"/>
</x:table>
</file>

<file path=xl/tables/table19.xml><?xml version="1.0" encoding="utf-8"?>
<x:table xmlns:x="http://schemas.openxmlformats.org/spreadsheetml/2006/main" id="19" name="FormalDifficultiesTable" displayName="FormalDifficultiesTable" ref="A1:M82" headerRowCount="1">
  <x:tableColumns count="13">
    <x:tableColumn id="1" name="难次"/>
    <x:tableColumn id="2" name="第99回原文难名"/>
    <x:tableColumn id="3" name="现代通行释名"/>
    <x:tableColumn id="4" name="对应回目/情节"/>
    <x:tableColumn id="5" name="叙事阶段"/>
    <x:tableColumn id="6" name="主题大类"/>
    <x:tableColumn id="7" name="关键对象/系统"/>
    <x:tableColumn id="8" name="校注要点"/>
    <x:tableColumn id="9" name="可写观点"/>
    <x:tableColumn id="10" name="原文证据位置"/>
    <x:tableColumn id="11" name="证据级别"/>
    <x:tableColumn id="12" name="校核状态"/>
    <x:tableColumn id="13" name="来源URL"/>
  </x:tableColumns>
  <x:tableStyleInfo name="TableStyleMedium2" showRowStripes="1"/>
</x:table>
</file>

<file path=xl/tables/table20.xml><?xml version="1.0" encoding="utf-8"?>
<x:table xmlns:x="http://schemas.openxmlformats.org/spreadsheetml/2006/main" id="20" name="DifficultyStatsTable" displayName="DifficultyStatsTable" ref="A1:D20" headerRowCount="1">
  <x:tableColumns count="4">
    <x:tableColumn id="1" name="统计类型"/>
    <x:tableColumn id="2" name="项目"/>
    <x:tableColumn id="3" name="数量"/>
    <x:tableColumn id="4" name="说明"/>
  </x:tableColumns>
  <x:tableStyleInfo name="TableStyleMedium2" showRowStripes="1"/>
</x:table>
</file>

<file path=xl/tables/table21.xml><?xml version="1.0" encoding="utf-8"?>
<x:table xmlns:x="http://schemas.openxmlformats.org/spreadsheetml/2006/main" id="21" name="V26EvidenceTable" displayName="V26EvidenceTable" ref="A1:M35" headerRowCount="1">
  <x:tableColumns count="13">
    <x:tableColumn id="1" name="补证ID"/>
    <x:tableColumn id="2" name="难次"/>
    <x:tableColumn id="3" name="原文难名"/>
    <x:tableColumn id="4" name="现代释名"/>
    <x:tableColumn id="5" name="对应回目"/>
    <x:tableColumn id="6" name="回目标题"/>
    <x:tableColumn id="7" name="摘录主题"/>
    <x:tableColumn id="8" name="原文短摘/定位"/>
    <x:tableColumn id="9" name="证据解释"/>
    <x:tableColumn id="10" name="主题大类"/>
    <x:tableColumn id="11" name="可写观点"/>
    <x:tableColumn id="12" name="来源URL"/>
    <x:tableColumn id="13" name="校核状态"/>
  </x:tableColumns>
  <x:tableStyleInfo name="TableStyleMedium2" showRowStripes="1"/>
</x:table>
</file>

<file path=xl/tables/table22.xml><?xml version="1.0" encoding="utf-8"?>
<x:table xmlns:x="http://schemas.openxmlformats.org/spreadsheetml/2006/main" id="22" name="TermStandardTable" displayName="TermStandardTable" ref="A3:H15" headerRowCount="1">
  <x:tableColumns count="8">
    <x:tableColumn id="1" name="类别"/>
    <x:tableColumn id="2" name="推荐统一写法"/>
    <x:tableColumn id="3" name="可接受别名/异称"/>
    <x:tableColumn id="4" name="不建议写法"/>
    <x:tableColumn id="5" name="适用范围"/>
    <x:tableColumn id="6" name="校核规则"/>
    <x:tableColumn id="7" name="发布备注"/>
    <x:tableColumn id="8" name="状态"/>
  </x:tableColumns>
  <x:tableStyleInfo name="TableStyleMedium2" showRowStripes="1"/>
</x:table>
</file>

<file path=xl/tables/table23.xml><?xml version="1.0" encoding="utf-8"?>
<x:table xmlns:x="http://schemas.openxmlformats.org/spreadsheetml/2006/main" id="23" name="CitationRuleTable" displayName="CitationRuleTable" ref="A3:H11" headerRowCount="1">
  <x:tableColumns count="8">
    <x:tableColumn id="1" name="规范项"/>
    <x:tableColumn id="2" name="发布要求"/>
    <x:tableColumn id="3" name="执行方法"/>
    <x:tableColumn id="4" name="示例/说明"/>
    <x:tableColumn id="5" name="风险等级"/>
    <x:tableColumn id="6" name="检查字段"/>
    <x:tableColumn id="7" name="责任动作"/>
    <x:tableColumn id="8" name="状态"/>
  </x:tableColumns>
  <x:tableStyleInfo name="TableStyleMedium2" showRowStripes="1"/>
</x:table>
</file>

<file path=xl/tables/table24.xml><?xml version="1.0" encoding="utf-8"?>
<x:table xmlns:x="http://schemas.openxmlformats.org/spreadsheetml/2006/main" id="24" name="PreReleaseChecklistTable" displayName="PreReleaseChecklistTable" ref="A3:I18" headerRowCount="1">
  <x:tableColumns count="9">
    <x:tableColumn id="1" name="序号"/>
    <x:tableColumn id="2" name="检查对象"/>
    <x:tableColumn id="3" name="检查项"/>
    <x:tableColumn id="4" name="通过标准"/>
    <x:tableColumn id="5" name="检查方法"/>
    <x:tableColumn id="6" name="优先级"/>
    <x:tableColumn id="7" name="状态"/>
    <x:tableColumn id="8" name="问题记录"/>
    <x:tableColumn id="9" name="关闭条件"/>
  </x:tableColumns>
  <x:tableStyleInfo name="TableStyleMedium2" showRowStripes="1"/>
</x:table>
</file>

<file path=xl/tables/table25.xml><?xml version="1.0" encoding="utf-8"?>
<x:table xmlns:x="http://schemas.openxmlformats.org/spreadsheetml/2006/main" id="25" name="IssueTrackerTable" displayName="IssueTrackerTable" ref="A3:I12" headerRowCount="1">
  <x:tableColumns count="9">
    <x:tableColumn id="1" name="问题ID"/>
    <x:tableColumn id="2" name="问题类别"/>
    <x:tableColumn id="3" name="问题描述"/>
    <x:tableColumn id="4" name="影响范围"/>
    <x:tableColumn id="5" name="建议处理"/>
    <x:tableColumn id="6" name="责任动作"/>
    <x:tableColumn id="7" name="风险等级"/>
    <x:tableColumn id="8" name="状态"/>
    <x:tableColumn id="9" name="关闭备注"/>
  </x:tableColumns>
  <x:tableStyleInfo name="TableStyleMedium2" showRowStripes="1"/>
</x:table>
</file>

<file path=xl/tables/table26.xml><?xml version="1.0" encoding="utf-8"?>
<x:table xmlns:x="http://schemas.openxmlformats.org/spreadsheetml/2006/main" id="26" name="V5PackageTable" displayName="V5PackageTable" ref="A3:I10" headerRowCount="1">
  <x:tableColumns count="9">
    <x:tableColumn id="1" name="成果类型"/>
    <x:tableColumn id="2" name="文件/模块名称"/>
    <x:tableColumn id="3" name="定位"/>
    <x:tableColumn id="4" name="来源版本"/>
    <x:tableColumn id="5" name="V3.0校核动作"/>
    <x:tableColumn id="6" name="V4.0产品动作"/>
    <x:tableColumn id="7" name="V5.0交付形态"/>
    <x:tableColumn id="8" name="优先级"/>
    <x:tableColumn id="9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3e17dfb0706449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f60edd2320e24d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b785887f657d487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.xml" Id="R3f2889b09b314d4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.xml" Id="Rbbc9c2ebe2334c4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6.xml" Id="Ref56d2f1e53d4ff2" /><Relationship Type="http://schemas.openxmlformats.org/officeDocument/2006/relationships/table" Target="/xl/tables/table7.xml" Id="Rd7eb62db9531483c" /><Relationship Type="http://schemas.openxmlformats.org/officeDocument/2006/relationships/table" Target="/xl/tables/table8.xml" Id="Re244514ea65d4920" /><Relationship Type="http://schemas.openxmlformats.org/officeDocument/2006/relationships/table" Target="/xl/tables/table9.xml" Id="Red14406bbb16408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0.xml" Id="R08cecdfe36f34c90" /><Relationship Type="http://schemas.openxmlformats.org/officeDocument/2006/relationships/table" Target="/xl/tables/table11.xml" Id="Re5e7ded08db9430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.xml" Id="R0ce73aec8fa8454e" /><Relationship Type="http://schemas.openxmlformats.org/officeDocument/2006/relationships/table" Target="/xl/tables/table12.xml" Id="Rf01be89fc71f41d5" /><Relationship Type="http://schemas.openxmlformats.org/officeDocument/2006/relationships/table" Target="/xl/tables/table13.xml" Id="R74eaa65366524535" /><Relationship Type="http://schemas.openxmlformats.org/officeDocument/2006/relationships/table" Target="/xl/tables/table14.xml" Id="R6b21e29fdcb442e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a6039915c5974725" /><Relationship Type="http://schemas.openxmlformats.org/officeDocument/2006/relationships/table" Target="/xl/tables/table15.xml" Id="Rb492d6366ad64b0d" /><Relationship Type="http://schemas.openxmlformats.org/officeDocument/2006/relationships/table" Target="/xl/tables/table16.xml" Id="Rf70052562f294f75" /><Relationship Type="http://schemas.openxmlformats.org/officeDocument/2006/relationships/table" Target="/xl/tables/table17.xml" Id="R0cea9a94fe6f4a4b" /><Relationship Type="http://schemas.openxmlformats.org/officeDocument/2006/relationships/table" Target="/xl/tables/table18.xml" Id="R425e5af1c59b468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3.xml" Id="R524308047cbb4d6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3d683e8ab900425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4.xml" Id="R3b4de38c87994a7b" /><Relationship Type="http://schemas.openxmlformats.org/officeDocument/2006/relationships/table" Target="/xl/tables/table20.xml" Id="R7b4ffec1eceb4fe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cbc0889e481f461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daf92df994534d5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77f32c15c3f0402f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5.xml" Id="Rf94c0010bc8b462e" /><Relationship Type="http://schemas.openxmlformats.org/officeDocument/2006/relationships/table" Target="/xl/tables/table24.xml" Id="R3e28f69cecab459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5.xml" Id="R6ed84a56dafe4a6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6.xml" Id="R66ff79a81daa42c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72" t="str">
        <x:v>《再读西游》AI研究数据底座 V1.8（第1—95回）</x:v>
      </x:c>
      <x:c r="B1" s="72"/>
      <x:c r="C1" s="72"/>
      <x:c r="D1" s="72"/>
      <x:c r="E1" s="64"/>
      <x:c r="F1" s="64"/>
      <x:c r="G1" s="64"/>
      <x:c r="H1" s="64"/>
      <x:c r="I1" s="64"/>
      <x:c r="J1" s="64"/>
      <x:c r="K1" s="64"/>
      <x:c r="L1" s="64"/>
      <x:c r="M1" s="64"/>
      <x:c r="N1" s="64"/>
    </x:row>
    <x:row r="2">
      <x:c r="A2" s="24" t="str">
        <x:v>版本更新</x:v>
      </x:c>
      <x:c r="B2" s="24" t="str">
        <x:v>V1.8</x:v>
      </x:c>
      <x:c r="C2" s="24" t="str">
        <x:v>已扩展至第1—95回；重点覆盖金平府元夜观灯、玄英洞三犀牛怪、天竺国玉兔精与公主身份替换。</x:v>
      </x:c>
      <x:c r="D2" s="24" t="str">
        <x:v>2026-06-14</x:v>
      </x:c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12" t="str">
        <x:v>定位：先建立可考据、可检索、可扩展的数据底座，再写专题文章、做图谱和升级HTML/PWA。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26" t="str">
        <x:v>工作阶段</x:v>
      </x:c>
      <x:c r="B5" s="26" t="str">
        <x:v>本版范围</x:v>
      </x:c>
      <x:c r="C5" s="26" t="str">
        <x:v>说明</x:v>
      </x:c>
      <x:c r="D5" s="26" t="str">
        <x:v>后续动作</x:v>
      </x:c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27" t="str">
        <x:v>第一批</x:v>
      </x:c>
      <x:c r="B6" s="27" t="str">
        <x:v>前七回</x:v>
      </x:c>
      <x:c r="C6" s="27" t="str">
        <x:v>孙悟空出世、学道、大闹天宫、被压五行山，属于全书心性总纲和取经前传。</x:v>
      </x:c>
      <x:c r="D6" s="27" t="str">
        <x:v>校核原文摘录，补充关键引文。</x:v>
      </x:c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>
      <x:c r="A7" s="27" t="str">
        <x:v>三张基础表</x:v>
      </x:c>
      <x:c r="B7" s="27" t="str">
        <x:v>百回主题表、八十一难表、妖怪分类表</x:v>
      </x:c>
      <x:c r="C7" s="27" t="str">
        <x:v>百回主题表已填前七回；八十一难表先给模板和前传关节点；妖怪分类表先填前七回相关角色/对象。</x:v>
      </x:c>
      <x:c r="D7" s="27" t="str">
        <x:v>后续按10回一组扩展。</x:v>
      </x:c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>
      <x:c r="A8" s="27" t="str">
        <x:v>考据原则</x:v>
      </x:c>
      <x:c r="B8" s="27" t="str">
        <x:v>底本+校注本+研究文献</x:v>
      </x:c>
      <x:c r="C8" s="27" t="str">
        <x:v>维基文库便于检索与复制；正式引用建议对照人民文学/中华书局等校注本。</x:v>
      </x:c>
      <x:c r="D8" s="27" t="str">
        <x:v>形成原文摘录表和参考文献表。</x:v>
      </x:c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7" t="str">
        <x:v>AI使用边界</x:v>
      </x:c>
      <x:c r="B9" s="27" t="str">
        <x:v>辅助整理，不替代考据</x:v>
      </x:c>
      <x:c r="C9" s="27" t="str">
        <x:v>AI可用于抽取、分类、关联、拟题、初稿；事实、回目、引文、人物归属必须人工核查。</x:v>
      </x:c>
      <x:c r="D9" s="27" t="str">
        <x:v>每条观点至少对应一个回目或原文证据。</x:v>
      </x:c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6" t="str">
        <x:v>主要来源</x:v>
      </x:c>
      <x:c r="B11" s="26" t="str">
        <x:v>URL/说明</x:v>
      </x:c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7" t="str">
        <x:v>维基文库《西游记》总目</x:v>
      </x:c>
      <x:c r="B12" s="27" t="str">
        <x:v>https://zh.wikisource.org/wiki/%E8%A5%BF%E9%81%8A%E8%A8%98</x:v>
      </x:c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7" t="str">
        <x:v>本版创建时间</x:v>
      </x:c>
      <x:c r="B13" s="27" t="str">
        <x:v>2026-06-12 10:35</x:v>
      </x:c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7" t="str">
        <x:v>建议引用格式</x:v>
      </x:c>
      <x:c r="B14" s="27" t="str">
        <x:v>第X回 + 回目 + 原文短句 + 底本版本</x:v>
      </x:c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7" t="str">
        <x:v>版权提示</x:v>
      </x:c>
      <x:c r="B15" s="27" t="str">
        <x:v>维基文库文本遵循其页面所列授权；公开发布时需遵守来源授权与署名要求。</x:v>
      </x:c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 t="str">
        <x:v>版本更新</x:v>
      </x:c>
      <x:c r="B17" s="24" t="str">
        <x:v>V0.2：扩展第8—14回</x:v>
      </x:c>
      <x:c r="C17" s="24" t="str">
        <x:v>完成时间</x:v>
      </x:c>
      <x:c r="D17" s="24" t="str">
        <x:v>2026-06-12</x:v>
      </x:c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 t="str">
        <x:v>新增内容</x:v>
      </x:c>
      <x:c r="B18" s="24" t="str">
        <x:v>百回主题表补充第8—14回；八十一难表加入任务生成节点与正式难候选；妖怪分类表补充护法预备、龙王、双叉岭妖魔、六贼；新增人物关系表。</x:v>
      </x:c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 t="str">
        <x:v>考据提醒</x:v>
      </x:c>
      <x:c r="B19" s="24" t="str">
        <x:v>第8—14回承担从前传转入取经工程的桥梁功能；第13—14回可作为正式取经灾厄起点候选，但是否纳入八十一难及具体难次，后续需对照校注本与通行清单。</x:v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 t="str">
        <x:v>下一批建议</x:v>
      </x:c>
      <x:c r="B20" s="24" t="str">
        <x:v>第15—22回：意马收缰、黑风山、收八戒、黄风岭、收沙僧，正式完成取经团队。</x:v>
      </x:c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 t="str">
        <x:v>发布建议</x:v>
      </x:c>
      <x:c r="B21" s="24" t="str">
        <x:v>可同步升级HTML/PWA：新增“数据底座V0.2”“第8—14回关系图”“取经项目立项链条”。</x:v>
      </x:c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 t="str">
        <x:v>资料来源</x:v>
      </x:c>
      <x:c r="B22" s="24" t="str">
        <x:v>维基文库《西游记》总目及各回页面；正式引用建议与人民文学/中华书局等校注本对照。</x:v>
      </x:c>
      <x:c r="C22" s="24" t="str">
        <x:v>https://zh.wikisource.org/wiki/%E8%A5%BF%E9%81%8A%E8%A8%98</x:v>
      </x:c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 t="str">
        <x:v>版本更新</x:v>
      </x:c>
      <x:c r="B23" s="24" t="str">
        <x:v>V0.3</x:v>
      </x:c>
      <x:c r="C23" s="24" t="str">
        <x:v>扩展第15—22回：白龙马、黑风山、收八戒、黄风岭、收沙僧。</x:v>
      </x:c>
      <x:c r="D23" s="24" t="str">
        <x:v>2026-06-12</x:v>
      </x:c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 t="str">
        <x:v>新增工作表</x:v>
      </x:c>
      <x:c r="B24" s="24" t="str">
        <x:v>06_专题观点表</x:v>
      </x:c>
      <x:c r="C24" s="24" t="str">
        <x:v>用于把数据表转化为专题文章、公众号连载和PWA模块。</x:v>
      </x:c>
      <x:c r="D24" s="24" t="str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 t="str">
        <x:v>关键判断</x:v>
      </x:c>
      <x:c r="B25" s="24" t="str">
        <x:v>团队成型段</x:v>
      </x:c>
      <x:c r="C25" s="24" t="str">
        <x:v>第15—22回完成取经团队角色结构：方向、能力、人性、稳定、承载。</x:v>
      </x:c>
      <x:c r="D25" s="24" t="str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 t="str">
        <x:v>下一批建议</x:v>
      </x:c>
      <x:c r="B26" s="24" t="str">
        <x:v>第23—31回</x:v>
      </x:c>
      <x:c r="C26" s="24" t="str">
        <x:v>四圣试禅心、人参果、三打白骨精、逐猴王、宝象国，是信任危机与团队再磨合段。</x:v>
      </x:c>
      <x:c r="D26" s="24" t="str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 t="str">
        <x:v>来源提示</x:v>
      </x:c>
      <x:c r="B27" s="24" t="str">
        <x:v>维基文库总目</x:v>
      </x:c>
      <x:c r="C27" s="24" t="str">
        <x:v>维基文库载明《西游记》全书20卷100回，第15—22回回目与本表对应。</x:v>
      </x:c>
      <x:c r="D27" s="24" t="str">
        <x:v>https://zh.wikisource.org/wiki/西游记</x:v>
      </x:c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 t="str">
        <x:v>版本更新</x:v>
      </x:c>
      <x:c r="B28" s="24" t="str">
        <x:v>V0.5</x:v>
      </x:c>
      <x:c r="C28" s="24" t="str">
        <x:v>扩展至第35回</x:v>
      </x:c>
      <x:c r="D28" s="24" t="str">
        <x:v>新增平顶山莲花洞段：金角银角、法宝系统、太上老君后台与资源外溢专题。</x:v>
      </x:c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 t="str">
        <x:v>V0.7更新</x:v>
      </x:c>
      <x:c r="B29" s="24" t="str">
        <x:v>已扩展至第46回，新增08_后台妖怪表，补充红孩儿、黑水河、车迟国段数据。</x:v>
      </x:c>
      <x:c r="C29" s="24" t="str">
        <x:v>2026-06-12</x:v>
      </x:c>
      <x:c r="D29" s="24" t="str">
        <x:v>继续建议推进第47—52回。</x:v>
      </x:c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 t="str">
        <x:v>版本更新</x:v>
      </x:c>
      <x:c r="B30" s="24" t="str">
        <x:v>V0.8</x:v>
      </x:c>
      <x:c r="C30" s="24" t="str">
        <x:v>范围扩展至第1—52回</x:v>
      </x:c>
      <x:c r="D30" s="24" t="str">
        <x:v>新增通天河、灵感大王、金兜洞、独角兕、金刚琢等数据。</x:v>
      </x:c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 t="str">
        <x:v>本版主题</x:v>
      </x:c>
      <x:c r="B31" s="24" t="str">
        <x:v>祭祀型风险与工具权力风险</x:v>
      </x:c>
      <x:c r="C31" s="24" t="str">
        <x:v>第47—52回</x:v>
      </x:c>
      <x:c r="D31" s="24" t="str">
        <x:v>通天河体现地方恐惧制度化；金兜洞体现法宝资源外溢与常规救援失效。</x:v>
      </x:c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 t="str">
        <x:v>新增重点表</x:v>
      </x:c>
      <x:c r="B32" s="24" t="str">
        <x:v>07_法宝表、08_后台妖怪表</x:v>
      </x:c>
      <x:c r="C32" s="24" t="str">
        <x:v>已继续扩展</x:v>
      </x:c>
      <x:c r="D32" s="24" t="str">
        <x:v>金刚琢、鱼篮、灵感大王、独角兕为本版核心样本。</x:v>
      </x:c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 t="str">
        <x:v>下一批建议</x:v>
      </x:c>
      <x:c r="B33" s="24" t="str">
        <x:v>第53—58回</x:v>
      </x:c>
      <x:c r="C33" s="24" t="str">
        <x:v>女儿国—真假美猴王</x:v>
      </x:c>
      <x:c r="D33" s="24" t="str">
        <x:v>主题：欲望、身份、二心与自我分裂。</x:v>
      </x:c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 t="str">
        <x:v>更新日期</x:v>
      </x:c>
      <x:c r="B34" s="24" t="str">
        <x:v>2026-06-12</x:v>
      </x:c>
      <x:c r="C34" s="24" t="str">
        <x:v>生成方式</x:v>
      </x:c>
      <x:c r="D34" s="24" t="str">
        <x:v>AI辅助研究数据底座，仍需结合通行校注本逐条校核。</x:v>
      </x:c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 t="str">
        <x:v>V1.1更新说明</x:v>
      </x:c>
      <x:c r="B36" s="24" t="str">
        <x:v>已扩展第62—67回</x:v>
      </x:c>
      <x:c r="C36" s="24" t="str">
        <x:v>新增祭赛国失宝冤案、荆棘岭木仙庵、小雷音寺黄眉、驼罗庄清障等数据。</x:v>
      </x:c>
      <x:c r="D36" s="24" t="str">
        <x:v>下一步建议第68—71回朱紫国金毛犼段。</x:v>
      </x:c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7" t="str">
        <x:v>版本更新</x:v>
      </x:c>
      <x:c r="B37" s="27" t="str">
        <x:v>V1.3</x:v>
      </x:c>
      <x:c r="C37" s="27" t="str">
        <x:v>扩展至第73回</x:v>
      </x:c>
      <x:c r="D37" s="27" t="str">
        <x:v>新增盘丝洞、濯垢泉、蜈蚣精/多目怪、毗蓝婆破法等数据。</x:v>
      </x:c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7" t="str">
        <x:v>本版主题</x:v>
      </x:c>
      <x:c r="B38" s="27" t="str">
        <x:v>欲望、身体、旧怨、外部专家救援</x:v>
      </x:c>
      <x:c r="C38" s="27" t="str">
        <x:v>第72—73回</x:v>
      </x:c>
      <x:c r="D38" s="27" t="str">
        <x:v>从“七情迷本”转向“旧恨生灾毒”，强调悟空能力边界。</x:v>
      </x:c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7" t="str">
        <x:v>下一步建议</x:v>
      </x:c>
      <x:c r="B39" s="27" t="str">
        <x:v>V1.4 第74—77回</x:v>
      </x:c>
      <x:c r="C39" s="27" t="str">
        <x:v>狮驼岭段</x:v>
      </x:c>
      <x:c r="D39" s="27" t="str">
        <x:v>研究青狮、白象、大鹏、如来后台、群体恐怖与权力边界。</x:v>
      </x:c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7" t="str">
        <x:v>资料来源</x:v>
      </x:c>
      <x:c r="B40" s="27" t="str">
        <x:v>维基文库百回本及后续校注本对照</x:v>
      </x:c>
      <x:c r="C40" s="27" t="str">
        <x:v>持续校核</x:v>
      </x:c>
      <x:c r="D40" s="27" t="str">
        <x:v>正式引用前需与通行校注本核对。</x:v>
      </x:c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 t="str">
        <x:v>V1.4更新</x:v>
      </x:c>
      <x:c r="B41" s="24" t="str">
        <x:v>已扩展至第77回</x:v>
      </x:c>
      <x:c r="C41" s="24" t="str">
        <x:v>新增第74—77回狮驼岭段：青狮、白象、大鹏、狮驼国群妖、如来系统收束。</x:v>
      </x:c>
      <x:c r="D41" s="24" t="str">
        <x:v>重点用于后台妖怪、组织化妖怪、极端风险治理专题。</x:v>
      </x:c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 t="str">
        <x:v>下一批建议</x:v>
      </x:c>
      <x:c r="B42" s="24" t="str">
        <x:v>第78—83回</x:v>
      </x:c>
      <x:c r="C42" s="24" t="str">
        <x:v>比丘国—无底洞段：白鹿精、儿童风险、老寿星后台、老鼠精/地涌夫人、托塔天王关系。</x:v>
      </x:c>
      <x:c r="D42" s="24" t="str">
        <x:v>建议继续补充后台妖怪表与儿童保护/身份迷局专题。</x:v>
      </x:c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 t="str">
        <x:v>V1.8更新</x:v>
      </x:c>
      <x:c r="B43" s="24" t="str">
        <x:v>已扩展至第95回</x:v>
      </x:c>
      <x:c r="C43" s="24" t="str">
        <x:v>新增第91—95回金平府犀牛精、灯油供奉、天竺国玉兔精、真假公主身份替换等数据。</x:v>
      </x:c>
      <x:c r="D43" s="24" t="str">
        <x:v>重点用于祭祀经济、冒名权威、身份替换、临近灵山前的最后迷障专题。</x:v>
      </x:c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 t="str">
        <x:v>本版主题</x:v>
      </x:c>
      <x:c r="B44" s="24" t="str">
        <x:v>祭祀经济、身份替换与最后迷障</x:v>
      </x:c>
      <x:c r="C44" s="24" t="str">
        <x:v>第91—95回</x:v>
      </x:c>
      <x:c r="D44" s="24" t="str">
        <x:v>从地方供奉型风险转向王室身份替换与婚配诱惑。</x:v>
      </x:c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 t="str">
        <x:v>下一批建议</x:v>
      </x:c>
      <x:c r="B45" s="24" t="str">
        <x:v>第96—100回</x:v>
      </x:c>
      <x:c r="C45" s="24" t="str">
        <x:v>寇员外、取经功成、无字经、九九归真、五圣成真。</x:v>
      </x:c>
      <x:c r="D45" s="24" t="str">
        <x:v>建议收官并做全书数据总表、正式八十一难校核表、专题总目录。</x:v>
      </x:c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 t="str">
        <x:v>资料来源</x:v>
      </x:c>
      <x:c r="B46" s="24" t="str">
        <x:v>维基文库百回本及后续校注本对照</x:v>
      </x:c>
      <x:c r="C46" s="24" t="str">
        <x:v>持续校核</x:v>
      </x:c>
      <x:c r="D46" s="24" t="str">
        <x:v>正式引用前需与通行校注本核对。</x:v>
      </x:c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93" t="str">
        <x:v>V2.0更新说明</x:v>
      </x:c>
      <x:c r="B48" s="24" t="str">
        <x:v>本版已完成第1—100回数据底座，新增第96—100回收官段，并增加09_全书总览。</x:v>
      </x:c>
      <x:c r="C48" s="24" t="str"/>
      <x:c r="D48" s="24" t="str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93" t="str">
        <x:v>新增重点</x:v>
      </x:c>
      <x:c r="B49" s="24" t="str">
        <x:v>寇员外善缘冤案、凌云渡脱壳、无字经、老鼋补难、五圣成真。</x:v>
      </x:c>
      <x:c r="C49" s="24" t="str"/>
      <x:c r="D49" s="24" t="str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93" t="str">
        <x:v>下一步</x:v>
      </x:c>
      <x:c r="B50" s="24" t="str">
        <x:v>正式八十一难校核、原文摘录表、三类图谱、专题文章与HTML/PWA检索版。</x:v>
      </x:c>
      <x:c r="C50" s="24" t="str"/>
      <x:c r="D50" s="24" t="str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93" t="str">
        <x:v>考据提醒</x:v>
      </x:c>
      <x:c r="B51" s="24" t="str">
        <x:v>当前为AI辅助研究底表，证据列仍需逐条校核原文；正式发表建议对照人民文学、中华书局等校注本。</x:v>
      </x:c>
      <x:c r="C51" s="24" t="str"/>
      <x:c r="D51" s="24" t="str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93" t="str">
        <x:v>来源基础</x:v>
      </x:c>
      <x:c r="B52" s="24" t="str">
        <x:v>维基文库《西游记》百回本作为检索底本之一；表内保留来源URL列。</x:v>
      </x:c>
      <x:c r="C52" s="24" t="str"/>
      <x:c r="D52" s="24" t="str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2" t="str">
        <x:v>V3.0校核版说明</x:v>
      </x:c>
      <x:c r="B54" s="242" t="str"/>
      <x:c r="C54" s="242" t="str"/>
      <x:c r="D54" s="242" t="str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 t="str">
        <x:v>版本定位</x:v>
      </x:c>
      <x:c r="B55" s="24" t="str">
        <x:v>从“生成内容”转为“校核成果”：统一口径、规范引用、标注风险、规划V5.0发布包。</x:v>
      </x:c>
      <x:c r="C55" s="24" t="str"/>
      <x:c r="D55" s="24" t="str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 t="str">
        <x:v>新增工作表</x:v>
      </x:c>
      <x:c r="B56" s="24" t="str">
        <x:v>25_V3.0校核总控、26_口径统一表、27_原文引用规范、28_发布前校核清单、29_待复核问题清单、30_V5.0成果包目录。</x:v>
      </x:c>
      <x:c r="C56" s="24" t="str"/>
      <x:c r="D56" s="24" t="str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 t="str">
        <x:v>校核原则</x:v>
      </x:c>
      <x:c r="B57" s="24" t="str">
        <x:v>维基文库作为可检索底本；第99回作为八十一难主证据；正式发布前建议对照纸质校注本。</x:v>
      </x:c>
      <x:c r="C57" s="24" t="str"/>
      <x:c r="D57" s="24" t="str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 t="str">
        <x:v>下一阶段</x:v>
      </x:c>
      <x:c r="B58" s="24" t="str">
        <x:v>V4.0产品版：合并主入口、瘦身页面、做手机端可发布体验。</x:v>
      </x:c>
      <x:c r="C58" s="24" t="str"/>
      <x:c r="D58" s="24" t="str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 t="str">
        <x:v>生成日期</x:v>
      </x:c>
      <x:c r="B59" s="24" t="str">
        <x:v>2026-06-14</x:v>
      </x:c>
      <x:c r="C59" s="24" t="str"/>
      <x:c r="D59" s="24" t="str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 t="str">
        <x:v>源文件</x:v>
      </x:c>
      <x:c r="B60" s="24" t="str">
        <x:v>zaidu_xiyou_data_base_v2_6.xlsx</x:v>
      </x:c>
      <x:c r="C60" s="24" t="str"/>
      <x:c r="D60" s="24" t="str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mergeCells>
    <x:mergeCell ref="A1:H1"/>
    <x:mergeCell ref="A3:H3"/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32" hidden="0" customWidth="1"/>
    <x:col min="5" max="5" width="24" hidden="0" customWidth="1"/>
    <x:col min="6" max="6" width="18" hidden="0" customWidth="1"/>
    <x:col min="7" max="7" width="22" hidden="0" customWidth="1"/>
    <x:col min="8" max="8" width="28" hidden="0" customWidth="1"/>
    <x:col min="9" max="9" width="32" hidden="0" customWidth="1"/>
    <x:col min="10" max="10" width="32" hidden="0" customWidth="1"/>
    <x:col min="11" max="11" width="32" hidden="0" customWidth="1"/>
    <x:col min="12" max="12" width="12" hidden="0" customWidth="1"/>
    <x:col min="13" max="13" width="32" hidden="0" customWidth="1"/>
    <x:col min="14" max="14" width="28" hidden="0" customWidth="1"/>
  </x:cols>
  <x:sheetData>
    <x:row r="1" ht="15" hidden="0" customHeight="1">
      <x:c r="A1" s="19" t="str">
        <x:v>回次</x:v>
      </x:c>
      <x:c r="B1" s="19" t="str">
        <x:v>回目</x:v>
      </x:c>
      <x:c r="C1" s="19" t="str">
        <x:v>结构位置</x:v>
      </x:c>
      <x:c r="D1" s="19" t="str">
        <x:v>主要事件</x:v>
      </x:c>
      <x:c r="E1" s="19" t="str">
        <x:v>核心人物</x:v>
      </x:c>
      <x:c r="F1" s="19" t="str">
        <x:v>关键地点</x:v>
      </x:c>
      <x:c r="G1" s="19" t="str">
        <x:v>关键词</x:v>
      </x:c>
      <x:c r="H1" s="19" t="str">
        <x:v>思想主题</x:v>
      </x:c>
      <x:c r="I1" s="19" t="str">
        <x:v>组织/管理观察</x:v>
      </x:c>
      <x:c r="J1" s="19" t="str">
        <x:v>人生/修身启示</x:v>
      </x:c>
      <x:c r="K1" s="19" t="str">
        <x:v>可摘原文方向</x:v>
      </x:c>
      <x:c r="L1" s="19" t="str">
        <x:v>证据状态</x:v>
      </x:c>
      <x:c r="M1" s="19" t="str">
        <x:v>来源URL</x:v>
      </x:c>
      <x:c r="N1" s="19" t="str">
        <x:v>备注</x:v>
      </x:c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52.79999923706055" hidden="0" customHeight="1">
      <x:c r="A2" s="27" t="n">
        <x:v>1</x:v>
      </x:c>
      <x:c r="B2" s="27" t="str">
        <x:v>灵根育孕源流出 心性修持大道生</x:v>
      </x:c>
      <x:c r="C2" s="27" t="str">
        <x:v>心性总纲/前传</x:v>
      </x:c>
      <x:c r="D2" s="27" t="str">
        <x:v>石猴出世，入水帘洞为王，因生死问题起求道之心。</x:v>
      </x:c>
      <x:c r="E2" s="27" t="str">
        <x:v>石猴、美猴王</x:v>
      </x:c>
      <x:c r="F2" s="27" t="str">
        <x:v>花果山、水帘洞</x:v>
      </x:c>
      <x:c r="G2" s="27" t="str">
        <x:v>灵根、心性、生死、求道</x:v>
      </x:c>
      <x:c r="H2" s="27" t="str">
        <x:v>心性觉醒；由自在生命转向求道生命。</x:v>
      </x:c>
      <x:c r="I2" s="27" t="str">
        <x:v>组织初生：凭胆识取得群体承认，但尚未形成制度化领导。</x:v>
      </x:c>
      <x:c r="J2" s="27" t="str">
        <x:v>真正的出发点不是外部任务，而是对生死与意义的自觉。</x:v>
      </x:c>
      <x:c r="K2" s="27" t="str">
        <x:v>石猴出世、水帘洞称王、忽忧生死、远游求师</x:v>
      </x:c>
      <x:c r="L2" s="27" t="str">
        <x:v>待校核原文</x:v>
      </x:c>
      <x:c r="M2" s="27" t="str">
        <x:v>https://zh.wikisource.org/wiki/%E8%A5%BF%E9%81%8A%E8%A8%98/%E7%AC%AC%E4%B8%80%E5%9B%9E</x:v>
      </x:c>
      <x:c r="N2" s="27" t="str">
        <x:v>可作为全书研究总钥匙。</x:v>
      </x:c>
    </x:row>
    <x:row r="3" ht="52.79999923706055" hidden="0" customHeight="1">
      <x:c r="A3" s="27" t="n">
        <x:v>2</x:v>
      </x:c>
      <x:c r="B3" s="27" t="str">
        <x:v>悟彻菩提真妙理 断魔归本合元神</x:v>
      </x:c>
      <x:c r="C3" s="27" t="str">
        <x:v>学道与能力形成</x:v>
      </x:c>
      <x:c r="D3" s="27" t="str">
        <x:v>美猴王拜菩提祖师，得名孙悟空，学长生术、七十二变、筋斗云。</x:v>
      </x:c>
      <x:c r="E3" s="27" t="str">
        <x:v>孙悟空、菩提祖师</x:v>
      </x:c>
      <x:c r="F3" s="27" t="str">
        <x:v>灵台方寸山、斜月三星洞</x:v>
      </x:c>
      <x:c r="G3" s="27" t="str">
        <x:v>悟空、长生、变化、规训</x:v>
      </x:c>
      <x:c r="H3" s="27" t="str">
        <x:v>技艺增长与心性规训并行；能力越强，越需要边界。</x:v>
      </x:c>
      <x:c r="I3" s="27" t="str">
        <x:v>师承制度：能力传授伴随禁令，组织知识不等于可任意使用。</x:v>
      </x:c>
      <x:c r="J3" s="27" t="str">
        <x:v>学本领不难，难在明白能力的边界。</x:v>
      </x:c>
      <x:c r="K3" s="27" t="str">
        <x:v>祖师赐名、传法、警戒不可泄露</x:v>
      </x:c>
      <x:c r="L3" s="27" t="str">
        <x:v>待校核原文</x:v>
      </x:c>
      <x:c r="M3" s="27" t="str">
        <x:v>https://zh.wikisource.org/wiki/%E8%A5%BF%E9%81%8A%E8%A8%98/%E7%AC%AC%E4%BA%8C%E5%9B%9E</x:v>
      </x:c>
      <x:c r="N3" s="27" t="str">
        <x:v>注意“方寸”“三星”的象征解释需谨慎。</x:v>
      </x:c>
    </x:row>
    <x:row r="4" ht="52.79999923706055" hidden="0" customHeight="1">
      <x:c r="A4" s="27" t="n">
        <x:v>3</x:v>
      </x:c>
      <x:c r="B4" s="27" t="str">
        <x:v>四海千山皆拱伏 九幽十类尽除名</x:v>
      </x:c>
      <x:c r="C4" s="27" t="str">
        <x:v>扩张与越界</x:v>
      </x:c>
      <x:c r="D4" s="27" t="str">
        <x:v>孙悟空归花果山，夺如意金箍棒，闹龙宫，销生死簿。</x:v>
      </x:c>
      <x:c r="E4" s="27" t="str">
        <x:v>孙悟空、四海龙王、阎王</x:v>
      </x:c>
      <x:c r="F4" s="27" t="str">
        <x:v>花果山、东海龙宫、幽冥地府</x:v>
      </x:c>
      <x:c r="G4" s="27" t="str">
        <x:v>兵器、龙宫、地府、除名</x:v>
      </x:c>
      <x:c r="H4" s="27" t="str">
        <x:v>个体力量挑战自然、司法与生死秩序。</x:v>
      </x:c>
      <x:c r="I4" s="27" t="str">
        <x:v>能力扩张触碰多系统边界，局部成功引发系统性风险。</x:v>
      </x:c>
      <x:c r="J4" s="27" t="str">
        <x:v>人一旦有本领，最容易误把‘能做到’当作‘该做到’。</x:v>
      </x:c>
      <x:c r="K4" s="27" t="str">
        <x:v>索兵器、得金箍棒、勾销生死簿</x:v>
      </x:c>
      <x:c r="L4" s="27" t="str">
        <x:v>待校核原文</x:v>
      </x:c>
      <x:c r="M4" s="27" t="str">
        <x:v>https://zh.wikisource.org/wiki/%E8%A5%BF%E9%81%8A%E8%A8%98/%E7%AC%AC%E4%B8%89%E5%9B%9E</x:v>
      </x:c>
      <x:c r="N4" s="27" t="str">
        <x:v>适合写“制度边界”专题。</x:v>
      </x:c>
    </x:row>
    <x:row r="5" ht="52.79999923706055" hidden="0" customHeight="1">
      <x:c r="A5" s="27" t="n">
        <x:v>4</x:v>
      </x:c>
      <x:c r="B5" s="27" t="str">
        <x:v>官封弼马心何足 名注齐天意未宁</x:v>
      </x:c>
      <x:c r="C5" s="27" t="str">
        <x:v>初入体制/名位冲突</x:v>
      </x:c>
      <x:c r="D5" s="27" t="str">
        <x:v>天庭招安孙悟空，授弼马温；悟空嫌官小，返花果山，自称齐天大圣。</x:v>
      </x:c>
      <x:c r="E5" s="27" t="str">
        <x:v>孙悟空、玉帝、太白金星</x:v>
      </x:c>
      <x:c r="F5" s="27" t="str">
        <x:v>天庭、御马监、花果山</x:v>
      </x:c>
      <x:c r="G5" s="27" t="str">
        <x:v>招安、弼马温、齐天大圣、名分</x:v>
      </x:c>
      <x:c r="H5" s="27" t="str">
        <x:v>名位与自我认知冲突；外部封号无法安顿内心。</x:v>
      </x:c>
      <x:c r="I5" s="27" t="str">
        <x:v>人才安置失败：岗位设计与能力、期待、尊严不匹配。</x:v>
      </x:c>
      <x:c r="J5" s="27" t="str">
        <x:v>最伤人的未必是低位，而是被轻慢、被误配。</x:v>
      </x:c>
      <x:c r="K5" s="27" t="str">
        <x:v>招安、弼马温、反下天宫、齐天大圣旗号</x:v>
      </x:c>
      <x:c r="L5" s="27" t="str">
        <x:v>待校核原文</x:v>
      </x:c>
      <x:c r="M5" s="27" t="str">
        <x:v>https://zh.wikisource.org/wiki/%E8%A5%BF%E9%81%8A%E8%A8%98/%E7%AC%AC%E5%9B%9B%E5%9B%9E</x:v>
      </x:c>
      <x:c r="N5" s="27" t="str">
        <x:v>可对接现代组织中的“高能力低适配”。</x:v>
      </x:c>
    </x:row>
    <x:row r="6" ht="52.79999923706055" hidden="0" customHeight="1">
      <x:c r="A6" s="27" t="n">
        <x:v>5</x:v>
      </x:c>
      <x:c r="B6" s="27" t="str">
        <x:v>乱蟠桃大圣偷丹 反天宫诸神捉怪</x:v>
      </x:c>
      <x:c r="C6" s="27" t="str">
        <x:v>冲突升级</x:v>
      </x:c>
      <x:c r="D6" s="27" t="str">
        <x:v>孙悟空管蟠桃园，偷桃、偷酒、偷丹，大闹蟠桃会，天庭围剿。</x:v>
      </x:c>
      <x:c r="E6" s="27" t="str">
        <x:v>孙悟空、王母、太上老君、天兵天将</x:v>
      </x:c>
      <x:c r="F6" s="27" t="str">
        <x:v>蟠桃园、瑶池、兜率宫、天宫</x:v>
      </x:c>
      <x:c r="G6" s="27" t="str">
        <x:v>蟠桃、金丹、宴会、反叛</x:v>
      </x:c>
      <x:c r="H6" s="27" t="str">
        <x:v>欲望、荣誉与排斥感交织，反叛从身份问题升级为秩序问题。</x:v>
      </x:c>
      <x:c r="I6" s="27" t="str">
        <x:v>激励失效：只给虚名不给尊重，容易诱发破坏性行为。</x:v>
      </x:c>
      <x:c r="J6" s="27" t="str">
        <x:v>被排除在核心秩序之外时，人最容易用破坏证明存在。</x:v>
      </x:c>
      <x:c r="K6" s="27" t="str">
        <x:v>偷桃、搅乱蟠桃会、偷丹、天庭捉拿</x:v>
      </x:c>
      <x:c r="L6" s="27" t="str">
        <x:v>待校核原文</x:v>
      </x:c>
      <x:c r="M6" s="27" t="str">
        <x:v>https://zh.wikisource.org/wiki/%E8%A5%BF%E9%81%8A%E8%A8%98/%E7%AC%AC%E4%BA%94%E5%9B%9E</x:v>
      </x:c>
      <x:c r="N6" s="27" t="str">
        <x:v>可写“为什么天庭激励失败”。</x:v>
      </x:c>
    </x:row>
    <x:row r="7" ht="52.79999923706055" hidden="0" customHeight="1">
      <x:c r="A7" s="27" t="n">
        <x:v>6</x:v>
      </x:c>
      <x:c r="B7" s="27" t="str">
        <x:v>观音赴会问原因 小圣施威降大圣</x:v>
      </x:c>
      <x:c r="C7" s="27" t="str">
        <x:v>镇压与能力对决</x:v>
      </x:c>
      <x:c r="D7" s="27" t="str">
        <x:v>观音举荐二郎神，孙悟空与二郎神斗法，太上老君助阵，悟空被擒。</x:v>
      </x:c>
      <x:c r="E7" s="27" t="str">
        <x:v>孙悟空、二郎神、观音、太上老君</x:v>
      </x:c>
      <x:c r="F7" s="27" t="str">
        <x:v>花果山、天庭战场</x:v>
      </x:c>
      <x:c r="G7" s="27" t="str">
        <x:v>斗法、变化、二郎神、金刚琢</x:v>
      </x:c>
      <x:c r="H7" s="27" t="str">
        <x:v>个体神通遇到更高层级的协同治理。</x:v>
      </x:c>
      <x:c r="I7" s="27" t="str">
        <x:v>单点能力无法对抗跨部门联合行动；最终胜负往往取决于资源协同。</x:v>
      </x:c>
      <x:c r="J7" s="27" t="str">
        <x:v>锋芒再强，也有被系统性力量限制的一天。</x:v>
      </x:c>
      <x:c r="K7" s="27" t="str">
        <x:v>二郎神斗法、诸神合围、老君助阵</x:v>
      </x:c>
      <x:c r="L7" s="27" t="str">
        <x:v>待校核原文</x:v>
      </x:c>
      <x:c r="M7" s="27" t="str">
        <x:v>https://zh.wikisource.org/wiki/%E8%A5%BF%E9%81%8A%E8%A8%98/%E7%AC%AC%E5%85%AD%E5%9B%9E</x:v>
      </x:c>
      <x:c r="N7" s="27" t="str">
        <x:v>可做“个人英雄与系统治理”专题。</x:v>
      </x:c>
    </x:row>
    <x:row r="8" ht="52.79999923706055" hidden="0" customHeight="1">
      <x:c r="A8" s="27" t="n">
        <x:v>7</x:v>
      </x:c>
      <x:c r="B8" s="27" t="str">
        <x:v>八卦炉中逃大圣 五行山下定心猿</x:v>
      </x:c>
      <x:c r="C8" s="27" t="str">
        <x:v>前传收束/心猿被定</x:v>
      </x:c>
      <x:c r="D8" s="27" t="str">
        <x:v>孙悟空经八卦炉炼成火眼金睛，再次大闹天宫，最终被如来压于五行山。</x:v>
      </x:c>
      <x:c r="E8" s="27" t="str">
        <x:v>孙悟空、如来、太上老君、玉帝</x:v>
      </x:c>
      <x:c r="F8" s="27" t="str">
        <x:v>八卦炉、天宫、五行山</x:v>
      </x:c>
      <x:c r="G8" s="27" t="str">
        <x:v>火眼金睛、如来、五行山、定心猿</x:v>
      </x:c>
      <x:c r="H8" s="27" t="str">
        <x:v>真正被压住的不是猴身，而是无法安顿的心猿。</x:v>
      </x:c>
      <x:c r="I8" s="27" t="str">
        <x:v>治理升级：惩戒不是终点，重建秩序需要更高合法性。</x:v>
      </x:c>
      <x:c r="J8" s="27" t="str">
        <x:v>人生的某些停顿和受困，可能是下一阶段转化的前提。</x:v>
      </x:c>
      <x:c r="K8" s="27" t="str">
        <x:v>八卦炉、火眼金睛、如来赌赛、五行山</x:v>
      </x:c>
      <x:c r="L8" s="27" t="str">
        <x:v>待校核原文</x:v>
      </x:c>
      <x:c r="M8" s="27" t="str">
        <x:v>https://zh.wikisource.org/wiki/%E8%A5%BF%E9%81%8A%E8%A8%98/%E7%AC%AC%E4%B8%83%E5%9B%9E</x:v>
      </x:c>
      <x:c r="N8" s="27" t="str">
        <x:v>前七回终点，后续第十四回“心猿归正”呼应。</x:v>
      </x:c>
    </x:row>
    <x:row r="9" ht="66" hidden="0" customHeight="1">
      <x:c r="A9" s="27" t="n">
        <x:v>8</x:v>
      </x:c>
      <x:c r="B9" s="27" t="str">
        <x:v>我佛造经传极乐 观音奉旨上长安</x:v>
      </x:c>
      <x:c r="C9" s="27" t="str">
        <x:v>取经任务生成/护法预设</x:v>
      </x:c>
      <x:c r="D9" s="27" t="str">
        <x:v>如来说明三藏真经，差观音往东土寻取经人；观音沿途点化沙僧、猪刚鬣、小白龙，并至五行山看望孙悟空，为取经团队预埋护法人选。</x:v>
      </x:c>
      <x:c r="E9" s="27" t="str">
        <x:v>如来、观音、惠岸、沙悟净、猪刚鬣、小白龙、孙悟空</x:v>
      </x:c>
      <x:c r="F9" s="27" t="str">
        <x:v>灵山、流沙河、福陵山、鹰愁涧、五行山、长安</x:v>
      </x:c>
      <x:c r="G9" s="27" t="str">
        <x:v>三藏真经、观音奉旨、护法预设、团队储备</x:v>
      </x:c>
      <x:c r="H9" s="27" t="str">
        <x:v>使命由高层合法性发端；取经不是个人远游，而是制度化、宗教化、宇宙秩序化的工程。</x:v>
      </x:c>
      <x:c r="I9" s="27" t="str">
        <x:v>重大项目启动前先定使命、定授权、定候选班底；团队成员往往在正式集结前已有前史与问题。</x:v>
      </x:c>
      <x:c r="J9" s="27" t="str">
        <x:v>真正的大事，先有使命与授权，再有人员与路线。</x:v>
      </x:c>
      <x:c r="K9" s="27" t="str">
        <x:v>如来造经、观音奉旨、沿途点化护法、五行山伏笔</x:v>
      </x:c>
      <x:c r="L9" s="27" t="str">
        <x:v>待校核原文</x:v>
      </x:c>
      <x:c r="M9" s="27" t="str">
        <x:v>https://zh.wikisource.org/wiki/%E8%A5%BF%E9%81%8A%E8%A8%98/%E7%AC%AC%E5%85%AB%E5%9B%9E</x:v>
      </x:c>
      <x:c r="N9" s="27" t="str">
        <x:v>第8回是从孙悟空前传转入取经工程的枢纽。</x:v>
      </x:c>
    </x:row>
    <x:row r="10" ht="52.79999923706055" hidden="0" customHeight="1">
      <x:c r="A10" s="27" t="n">
        <x:v>9</x:v>
      </x:c>
      <x:c r="B10" s="27" t="str">
        <x:v>陈光蕊赴任逢灾 江流僧复仇报本</x:v>
      </x:c>
      <x:c r="C10" s="27" t="str">
        <x:v>唐僧身世/因果铺垫</x:v>
      </x:c>
      <x:c r="D10" s="27" t="str">
        <x:v>陈光蕊中状元赴任途中遇害，殷小姐生子后将婴儿托江流放，江流儿被寺僧救养，长成后知身世、报父仇、认母亲。</x:v>
      </x:c>
      <x:c r="E10" s="27" t="str">
        <x:v>陈光蕊、殷温娇、刘洪、江流儿/玄奘、法明长老</x:v>
      </x:c>
      <x:c r="F10" s="27" t="str">
        <x:v>长安、江州、洪江、金山寺</x:v>
      </x:c>
      <x:c r="G10" s="27" t="str">
        <x:v>江流、身世、复仇、报本、因果</x:v>
      </x:c>
      <x:c r="H10" s="27" t="str">
        <x:v>唐僧不是抽象圣僧，而是由苦难、亲缘与因果塑造的人物。</x:v>
      </x:c>
      <x:c r="I10" s="27" t="str">
        <x:v>核心负责人也有个人前史；合法性不只来自任命，也来自经历、身份与责任链条。</x:v>
      </x:c>
      <x:c r="J10" s="27" t="str">
        <x:v>越是承担大使命的人，越有不能回避的来处。</x:v>
      </x:c>
      <x:c r="K10" s="27" t="str">
        <x:v>陈光蕊遇害、江流托孤、玄奘寻亲报仇</x:v>
      </x:c>
      <x:c r="L10" s="27" t="str">
        <x:v>待校核原文</x:v>
      </x:c>
      <x:c r="M10" s="27" t="str">
        <x:v>https://zh.wikisource.org/wiki/%E8%A5%BF%E9%81%8A%E8%A8%98/%E7%AC%AC%E4%B9%9D%E5%9B%9E</x:v>
      </x:c>
      <x:c r="N10" s="27" t="str">
        <x:v>可纳入“唐僧为何必须做取经人”专题。</x:v>
      </x:c>
    </x:row>
    <x:row r="11" ht="52.79999923706055" hidden="0" customHeight="1">
      <x:c r="A11" s="27" t="n">
        <x:v>10</x:v>
      </x:c>
      <x:c r="B11" s="27" t="str">
        <x:v>老龙王拙计犯天条 魏丞相遗书托冥吏</x:v>
      </x:c>
      <x:c r="C11" s="27" t="str">
        <x:v>人间政教/天条因果</x:v>
      </x:c>
      <x:c r="D11" s="27" t="str">
        <x:v>泾河龙王为胜袁守诚之言，私改降雨时辰点数，触犯天条；魏征奉天命梦中斩龙，龙魂纠缠唐太宗。</x:v>
      </x:c>
      <x:c r="E11" s="27" t="str">
        <x:v>泾河龙王、袁守诚、唐太宗、魏征</x:v>
      </x:c>
      <x:c r="F11" s="27" t="str">
        <x:v>长安、泾河、朝廷、梦境/冥界边缘</x:v>
      </x:c>
      <x:c r="G11" s="27" t="str">
        <x:v>天条、占卜、降雨、魏征梦斩、龙王犯律</x:v>
      </x:c>
      <x:c r="H11" s="27" t="str">
        <x:v>天命、律令与人间政治交织；违令并非只是失误，而是秩序破坏。</x:v>
      </x:c>
      <x:c r="I11" s="27" t="str">
        <x:v>制度执行有时跨越显性组织边界；规则一旦神圣化，领导者也无法随意豁免。</x:v>
      </x:c>
      <x:c r="J11" s="27" t="str">
        <x:v>聪明的拙计，往往坏在侥幸和争胜。</x:v>
      </x:c>
      <x:c r="K11" s="27" t="str">
        <x:v>袁守诚算卦、龙王改雨、魏征梦斩</x:v>
      </x:c>
      <x:c r="L11" s="27" t="str">
        <x:v>待校核原文</x:v>
      </x:c>
      <x:c r="M11" s="27" t="str">
        <x:v>https://zh.wikisource.org/wiki/%E8%A5%BF%E9%81%8A%E8%A8%98/%E7%AC%AC%E5%8D%81%E5%9B%9E</x:v>
      </x:c>
      <x:c r="N11" s="27" t="str">
        <x:v>与第11回共同构成水陆大会的因。</x:v>
      </x:c>
    </x:row>
    <x:row r="12" ht="66" hidden="0" customHeight="1">
      <x:c r="A12" s="27" t="n">
        <x:v>11</x:v>
      </x:c>
      <x:c r="B12" s="27" t="str">
        <x:v>游地府太宗还魂 进瓜果刘全续配</x:v>
      </x:c>
      <x:c r="C12" s="27" t="str">
        <x:v>水陆大会动因/生死秩序</x:v>
      </x:c>
      <x:c r="D12" s="27" t="str">
        <x:v>唐太宗因泾河龙王冤魂入冥府，游历地府后还阳；又有刘全奉旨进瓜果、续配还魂情节，促成唐王修设水陆大会。</x:v>
      </x:c>
      <x:c r="E12" s="27" t="str">
        <x:v>唐太宗、崔判官、十殿阎王、刘全、李翠莲</x:v>
      </x:c>
      <x:c r="F12" s="27" t="str">
        <x:v>地府、森罗殿、长安</x:v>
      </x:c>
      <x:c r="G12" s="27" t="str">
        <x:v>地府、还魂、水陆大会、超度</x:v>
      </x:c>
      <x:c r="H12" s="27" t="str">
        <x:v>帝王也受生死秩序约束；取经任务与超度亡魂、救济幽冥相关。</x:v>
      </x:c>
      <x:c r="I12" s="27" t="str">
        <x:v>重大公共行动常由危机触发；危机之后若能制度化，才可能转为长期工程。</x:v>
      </x:c>
      <x:c r="J12" s="27" t="str">
        <x:v>真正的敬畏，常从亲历边界开始。</x:v>
      </x:c>
      <x:c r="K12" s="27" t="str">
        <x:v>太宗入冥、地府见闻、还魂、修大会之愿</x:v>
      </x:c>
      <x:c r="L12" s="27" t="str">
        <x:v>待校核原文</x:v>
      </x:c>
      <x:c r="M12" s="27" t="str">
        <x:v>https://zh.wikisource.org/wiki/%E8%A5%BF%E9%81%8A%E8%A8%98/%E7%AC%AC%E5%8D%81%E4%B8%80%E5%9B%9E</x:v>
      </x:c>
      <x:c r="N12" s="27" t="str">
        <x:v>可与地府系统、超度思想合读。</x:v>
      </x:c>
    </x:row>
    <x:row r="13" ht="66" hidden="0" customHeight="1">
      <x:c r="A13" s="27" t="n">
        <x:v>12</x:v>
      </x:c>
      <x:c r="B13" s="27" t="str">
        <x:v>唐王秉诚修大会 观音显圣化金蝉</x:v>
      </x:c>
      <x:c r="C13" s="27" t="str">
        <x:v>取经项目立项/唐僧受命</x:v>
      </x:c>
      <x:c r="D13" s="27" t="str">
        <x:v>唐王设水陆大会，观音显圣说明大乘真经；玄奘受命西行，唐王相送并赐号唐三藏，取经任务正式立项。</x:v>
      </x:c>
      <x:c r="E13" s="27" t="str">
        <x:v>唐太宗、玄奘/唐僧、观音、木叉、众僧</x:v>
      </x:c>
      <x:c r="F13" s="27" t="str">
        <x:v>长安、化生寺、水陆大会场</x:v>
      </x:c>
      <x:c r="G13" s="27" t="str">
        <x:v>水陆大会、大乘真经、唐三藏、取经立项</x:v>
      </x:c>
      <x:c r="H13" s="27" t="str">
        <x:v>取经使命完成从天命到人间政治、宗教仪式、个人担当的转化。</x:v>
      </x:c>
      <x:c r="I13" s="27" t="str">
        <x:v>项目立项需要目标、授权、仪式、资源与责任人；唐僧的权威来自多重合法性叠加。</x:v>
      </x:c>
      <x:c r="J13" s="27" t="str">
        <x:v>有些路不是自己想走，而是时代、信念与责任共同推着走。</x:v>
      </x:c>
      <x:c r="K13" s="27" t="str">
        <x:v>观音显圣、玄奘发愿、唐王送行</x:v>
      </x:c>
      <x:c r="L13" s="27" t="str">
        <x:v>待校核原文</x:v>
      </x:c>
      <x:c r="M13" s="27" t="str">
        <x:v>https://zh.wikisource.org/wiki/%E8%A5%BF%E9%81%8A%E8%A8%98/%E7%AC%AC%E5%8D%81%E4%BA%8C%E5%9B%9E</x:v>
      </x:c>
      <x:c r="N13" s="27" t="str">
        <x:v>正式进入唐僧主线。</x:v>
      </x:c>
    </x:row>
    <x:row r="14" ht="66" hidden="0" customHeight="1">
      <x:c r="A14" s="27" t="n">
        <x:v>13</x:v>
      </x:c>
      <x:c r="B14" s="27" t="str">
        <x:v>陷虎穴金星解厄 双叉岭伯钦留僧</x:v>
      </x:c>
      <x:c r="C14" s="27" t="str">
        <x:v>取经初难/凡夫入险</x:v>
      </x:c>
      <x:c r="D14" s="27" t="str">
        <x:v>唐僧启程后在双叉岭遇寅将军等妖魔，随从被害，太白金星解救；后得猎户刘伯钦留宿相助。</x:v>
      </x:c>
      <x:c r="E14" s="27" t="str">
        <x:v>唐僧、寅将军、熊山君、特处士、太白金星、刘伯钦</x:v>
      </x:c>
      <x:c r="F14" s="27" t="str">
        <x:v>双叉岭、虎穴、刘伯钦家</x:v>
      </x:c>
      <x:c r="G14" s="27" t="str">
        <x:v>双叉岭、虎穴、解厄、猎户相助</x:v>
      </x:c>
      <x:c r="H14" s="27" t="str">
        <x:v>理想一落地，首先遭遇的是身体恐惧、生存风险与现实残酷。</x:v>
      </x:c>
      <x:c r="I14" s="27" t="str">
        <x:v>使命型项目初期最脆弱，需要外部救援、本地向导和现实经验补足。</x:v>
      </x:c>
      <x:c r="J14" s="27" t="str">
        <x:v>开始上路后才知道，信念不能替代经验。</x:v>
      </x:c>
      <x:c r="K14" s="27" t="str">
        <x:v>陷虎穴、随从遇害、金星解厄、伯钦留僧</x:v>
      </x:c>
      <x:c r="L14" s="27" t="str">
        <x:v>待校核原文</x:v>
      </x:c>
      <x:c r="M14" s="27" t="str">
        <x:v>https://zh.wikisource.org/wiki/%E8%A5%BF%E9%81%8A%E8%A8%98/%E7%AC%AC%E5%8D%81%E4%B8%89%E5%9B%9E</x:v>
      </x:c>
      <x:c r="N14" s="27" t="str">
        <x:v>可作为取经路第一批灾厄候选。</x:v>
      </x:c>
    </x:row>
    <x:row r="15" ht="66" hidden="0" customHeight="1">
      <x:c r="A15" s="27" t="n">
        <x:v>14</x:v>
      </x:c>
      <x:c r="B15" s="27" t="str">
        <x:v>心猿归正 六贼无踪</x:v>
      </x:c>
      <x:c r="C15" s="27" t="str">
        <x:v>团队初成/心猿归队</x:v>
      </x:c>
      <x:c r="D15" s="27" t="str">
        <x:v>唐僧揭去佛帖救出五行山下孙悟空；悟空拜师随行，打死六贼后与唐僧发生冲突，观音授紧箍咒，心猿归正。</x:v>
      </x:c>
      <x:c r="E15" s="27" t="str">
        <x:v>唐僧、孙悟空、观音、六贼</x:v>
      </x:c>
      <x:c r="F15" s="27" t="str">
        <x:v>五行山、两界山、取经路初段</x:v>
      </x:c>
      <x:c r="G15" s="27" t="str">
        <x:v>心猿归正、六贼、紧箍咒、师徒关系</x:v>
      </x:c>
      <x:c r="H15" s="27" t="str">
        <x:v>孙悟空由反叛者转为护法者；六贼兼具外部盗贼与内在六根/六欲象征空间。</x:v>
      </x:c>
      <x:c r="I15" s="27" t="str">
        <x:v>高能力骨干加入团队后，首要问题不是能力，而是规则、边界与价值一致。</x:v>
      </x:c>
      <x:c r="J15" s="27" t="str">
        <x:v>真正的归正，不是本事变小，而是本事有了方向。</x:v>
      </x:c>
      <x:c r="K15" s="27" t="str">
        <x:v>揭帖救悟空、拜师、打死六贼、紧箍咒</x:v>
      </x:c>
      <x:c r="L15" s="27" t="str">
        <x:v>待校核原文</x:v>
      </x:c>
      <x:c r="M15" s="27" t="str">
        <x:v>https://zh.wikisource.org/wiki/%E8%A5%BF%E9%81%8A%E8%A8%98/%E7%AC%AC%E5%8D%81%E5%9B%9B%E5%9B%9E</x:v>
      </x:c>
      <x:c r="N15" s="27" t="str">
        <x:v>与第7回“五行山下定心猿”形成结构呼应。</x:v>
      </x:c>
    </x:row>
    <x:row r="16" ht="39.599998474121094" hidden="0" customHeight="1">
      <x:c r="A16" s="27" t="n">
        <x:v>15</x:v>
      </x:c>
      <x:c r="B16" s="27" t="str">
        <x:v>蛇盘山诸神暗佑 鹰愁涧意马收缰</x:v>
      </x:c>
      <x:c r="C16" s="27" t="str">
        <x:v>团队成型/意马归队</x:v>
      </x:c>
      <x:c r="D16" s="27" t="str">
        <x:v>唐僧坐骑被鹰愁涧小白龙吞食，悟空求援，观音点化小白龙化为白马护送取经。</x:v>
      </x:c>
      <x:c r="E16" s="27" t="str">
        <x:v>唐僧、孙悟空、小白龙、观音、诸神</x:v>
      </x:c>
      <x:c r="F16" s="27" t="str">
        <x:v>蛇盘山、鹰愁涧</x:v>
      </x:c>
      <x:c r="G16" s="27" t="str">
        <x:v>意马、坐骑、暗佑、收缰</x:v>
      </x:c>
      <x:c r="H16" s="27" t="str">
        <x:v>“意马”由奔突转为承载；取经不只需要神通，也需要长期稳定的载体。</x:v>
      </x:c>
      <x:c r="I16" s="27" t="str">
        <x:v>项目开始后，隐性保障系统非常重要；资源、后勤、交通能力常被低估。</x:v>
      </x:c>
      <x:c r="J16" s="27" t="str">
        <x:v>人的能力不仅体现在冲锋，也体现在长期承载与默默坚持。</x:v>
      </x:c>
      <x:c r="K16" s="27" t="str">
        <x:v>小白龙吞马、观音点化、化龙为马、诸神暗佑</x:v>
      </x:c>
      <x:c r="L16" s="27" t="str">
        <x:v>待校核原文</x:v>
      </x:c>
      <x:c r="M16" s="27" t="str">
        <x:v>https://zh.wikisource.org/wiki/西游记/第十五回</x:v>
      </x:c>
      <x:c r="N16" s="27" t="str">
        <x:v>取经团队的“载体系统”正式形成。</x:v>
      </x:c>
    </x:row>
    <x:row r="17" ht="39.599998474121094" hidden="0" customHeight="1">
      <x:c r="A17" s="27" t="n">
        <x:v>16</x:v>
      </x:c>
      <x:c r="B17" s="27" t="str">
        <x:v>观音院僧谋宝贝 黑风山怪窃袈裟</x:v>
      </x:c>
      <x:c r="C17" s="27" t="str">
        <x:v>贪欲试炼/信任危机</x:v>
      </x:c>
      <x:c r="D17" s="27" t="str">
        <x:v>唐僧师徒宿观音院，悟空炫示袈裟，引出金池长老贪念与纵火谋害，袈裟又被黑风怪窃去。</x:v>
      </x:c>
      <x:c r="E17" s="27" t="str">
        <x:v>唐僧、孙悟空、金池长老、黑风怪</x:v>
      </x:c>
      <x:c r="F17" s="27" t="str">
        <x:v>观音院、黑风山</x:v>
      </x:c>
      <x:c r="G17" s="27" t="str">
        <x:v>袈裟、炫耀、贪欲、火灾</x:v>
      </x:c>
      <x:c r="H17" s="27" t="str">
        <x:v>外物名相容易引动贪念；修行路上，佛门场所也可能产生欲望。</x:v>
      </x:c>
      <x:c r="I17" s="27" t="str">
        <x:v>核心资产展示不当会诱发风险；内部场景不等于低风险场景。</x:v>
      </x:c>
      <x:c r="J17" s="27" t="str">
        <x:v>越珍贵的东西，越要避免炫示；修行也要防范“名相之贪”。</x:v>
      </x:c>
      <x:c r="K17" s="27" t="str">
        <x:v>悟空炫袈裟、金池长老起贪、放火、袈裟被盗</x:v>
      </x:c>
      <x:c r="L17" s="27" t="str">
        <x:v>待校核原文</x:v>
      </x:c>
      <x:c r="M17" s="27" t="str">
        <x:v>https://zh.wikisource.org/wiki/西游记/第十六回</x:v>
      </x:c>
      <x:c r="N17" s="27" t="str">
        <x:v>适合专题“袈裟与贪欲”。</x:v>
      </x:c>
    </x:row>
    <x:row r="18" ht="39.599998474121094" hidden="0" customHeight="1">
      <x:c r="A18" s="27" t="n">
        <x:v>17</x:v>
      </x:c>
      <x:c r="B18" s="27" t="str">
        <x:v>孙行者大闹黑风山 观世音收伏熊罴怪</x:v>
      </x:c>
      <x:c r="C18" s="27" t="str">
        <x:v>资源协调/降魔与收编</x:v>
      </x:c>
      <x:c r="D18" s="27" t="str">
        <x:v>悟空查找袈裟，与黑风山诸怪周旋，最后请观音设计收伏黑熊精。</x:v>
      </x:c>
      <x:c r="E18" s="27" t="str">
        <x:v>孙悟空、观音、黑熊精、白衣秀士、凌虚子</x:v>
      </x:c>
      <x:c r="F18" s="27" t="str">
        <x:v>黑风山、黑风洞</x:v>
      </x:c>
      <x:c r="G18" s="27" t="str">
        <x:v>黑熊精、袈裟、收伏、护山大神</x:v>
      </x:c>
      <x:c r="H18" s="27" t="str">
        <x:v>妖未必只被消灭，也可被纳入秩序；能力归位之后可转化为护法力量。</x:v>
      </x:c>
      <x:c r="I18" s="27" t="str">
        <x:v>高能力风险对象并非一律清除，适当制度安排可转为治理资源。</x:v>
      </x:c>
      <x:c r="J18" s="27" t="str">
        <x:v>人的偏执、贪爱若能转向，也可能成为守护力量。</x:v>
      </x:c>
      <x:c r="K18" s="27" t="str">
        <x:v>悟空变计、观音变化、黑熊精被收、袈裟归还</x:v>
      </x:c>
      <x:c r="L18" s="27" t="str">
        <x:v>待校核原文</x:v>
      </x:c>
      <x:c r="M18" s="27" t="str">
        <x:v>https://zh.wikisource.org/wiki/西游记/第十七回</x:v>
      </x:c>
      <x:c r="N18" s="27" t="str">
        <x:v>体现“惩戒—收编—再利用”。</x:v>
      </x:c>
    </x:row>
    <x:row r="19" ht="39.599998474121094" hidden="0" customHeight="1">
      <x:c r="A19" s="27" t="n">
        <x:v>18</x:v>
      </x:c>
      <x:c r="B19" s="27" t="str">
        <x:v>观音院唐僧脱难 高老庄行者降魔</x:v>
      </x:c>
      <x:c r="C19" s="27" t="str">
        <x:v>队员招募/八戒登场</x:v>
      </x:c>
      <x:c r="D19" s="27" t="str">
        <x:v>唐僧离观音院后至高老庄，得知妖怪招亲作乱，悟空代女设伏，初遇猪刚鬣。</x:v>
      </x:c>
      <x:c r="E19" s="27" t="str">
        <x:v>唐僧、孙悟空、高太公、猪刚鬣</x:v>
      </x:c>
      <x:c r="F19" s="27" t="str">
        <x:v>高老庄、云栈洞</x:v>
      </x:c>
      <x:c r="G19" s="27" t="str">
        <x:v>招亲、欲望、八戒、降魔</x:v>
      </x:c>
      <x:c r="H19" s="27" t="str">
        <x:v>猪八戒以欲望、家庭、俗世牵挂登场，是“普通人性”的集中化身。</x:v>
      </x:c>
      <x:c r="I19" s="27" t="str">
        <x:v>团队成员不一定以理想面目出现，很多能力藏在问题、欲望与缺陷之中。</x:v>
      </x:c>
      <x:c r="J19" s="27" t="str">
        <x:v>不能只看人的毛病，还要看其是否能被使命重新安顿。</x:v>
      </x:c>
      <x:c r="K19" s="27" t="str">
        <x:v>高太公诉苦、悟空代女、猪刚鬣现身</x:v>
      </x:c>
      <x:c r="L19" s="27" t="str">
        <x:v>待校核原文</x:v>
      </x:c>
      <x:c r="M19" s="27" t="str">
        <x:v>https://zh.wikisource.org/wiki/西游记/第十八回</x:v>
      </x:c>
      <x:c r="N19" s="27" t="str">
        <x:v>团队扩编的前奏。</x:v>
      </x:c>
    </x:row>
    <x:row r="20" ht="39.599998474121094" hidden="0" customHeight="1">
      <x:c r="A20" s="27" t="n">
        <x:v>19</x:v>
      </x:c>
      <x:c r="B20" s="27" t="str">
        <x:v>云栈洞悟空收八戒 浮屠山玄奘受心经</x:v>
      </x:c>
      <x:c r="C20" s="27" t="str">
        <x:v>团队扩编/心法入局</x:v>
      </x:c>
      <x:c r="D20" s="27" t="str">
        <x:v>悟空收伏猪刚鬣，观音所点化的护法猪悟能归队；唐僧在浮屠山受《心经》。</x:v>
      </x:c>
      <x:c r="E20" s="27" t="str">
        <x:v>孙悟空、猪八戒、唐僧、乌巢禅师</x:v>
      </x:c>
      <x:c r="F20" s="27" t="str">
        <x:v>云栈洞、浮屠山</x:v>
      </x:c>
      <x:c r="G20" s="27" t="str">
        <x:v>八戒、悟能、心经、观自在</x:v>
      </x:c>
      <x:c r="H20" s="27" t="str">
        <x:v>“悟能”意味着能力与欲望可被重命名、再组织；《心经》提供内在修行纲领。</x:v>
      </x:c>
      <x:c r="I20" s="27" t="str">
        <x:v>团队不仅要补人，还要补共同语言、价值观与心法。</x:v>
      </x:c>
      <x:c r="J20" s="27" t="str">
        <x:v>有缺点的人也能进入正途，关键在于使命、约束和共同心法。</x:v>
      </x:c>
      <x:c r="K20" s="27" t="str">
        <x:v>收八戒、赐名悟能、受心经</x:v>
      </x:c>
      <x:c r="L20" s="27" t="str">
        <x:v>待校核原文</x:v>
      </x:c>
      <x:c r="M20" s="27" t="str">
        <x:v>https://zh.wikisource.org/wiki/西游记/第十九回</x:v>
      </x:c>
      <x:c r="N20" s="27" t="str">
        <x:v>适合写“猪八戒为什么不能被开除”。</x:v>
      </x:c>
    </x:row>
    <x:row r="21" ht="39.599998474121094" hidden="0" customHeight="1">
      <x:c r="A21" s="27" t="n">
        <x:v>20</x:v>
      </x:c>
      <x:c r="B21" s="27" t="str">
        <x:v>黄风岭唐僧有难 半山中八戒争先</x:v>
      </x:c>
      <x:c r="C21" s="27" t="str">
        <x:v>首次团队协同压力测试</x:v>
      </x:c>
      <x:c r="D21" s="27" t="str">
        <x:v>黄风岭遇虎先锋与黄风怪，唐僧被摄，悟空、八戒分头行动，团队协同受考验。</x:v>
      </x:c>
      <x:c r="E21" s="27" t="str">
        <x:v>唐僧、孙悟空、猪八戒、虎先锋、黄风怪</x:v>
      </x:c>
      <x:c r="F21" s="27" t="str">
        <x:v>黄风岭、黄风洞</x:v>
      </x:c>
      <x:c r="G21" s="27" t="str">
        <x:v>黄风、虎先锋、协同、风险</x:v>
      </x:c>
      <x:c r="H21" s="27" t="str">
        <x:v>黄风代表遮蔽与扰乱；有神通者也会遇到不可硬破的障碍。</x:v>
      </x:c>
      <x:c r="I21" s="27" t="str">
        <x:v>新团队上路后，第一次遭遇复杂风险，暴露信息、救援、协同问题。</x:v>
      </x:c>
      <x:c r="J21" s="27" t="str">
        <x:v>很多困难不是靠蛮力解决，而要识别问题性质。</x:v>
      </x:c>
      <x:c r="K21" s="27" t="str">
        <x:v>唐僧被擒、虎先锋、黄风怪、八戒争先</x:v>
      </x:c>
      <x:c r="L21" s="27" t="str">
        <x:v>待校核原文</x:v>
      </x:c>
      <x:c r="M21" s="27" t="str">
        <x:v>https://zh.wikisource.org/wiki/西游记/第二十回</x:v>
      </x:c>
      <x:c r="N21" s="27" t="str">
        <x:v>团队成型后的首个重大外部风险。</x:v>
      </x:c>
    </x:row>
    <x:row r="22" ht="39.599998474121094" hidden="0" customHeight="1">
      <x:c r="A22" s="27" t="n">
        <x:v>21</x:v>
      </x:c>
      <x:c r="B22" s="27" t="str">
        <x:v>护法设庄留大圣 须弥灵吉定风魔</x:v>
      </x:c>
      <x:c r="C22" s="27" t="str">
        <x:v>外部专家/系统援助</x:v>
      </x:c>
      <x:c r="D22" s="27" t="str">
        <x:v>悟空寻访得知黄风怪来历，请灵吉菩萨以定风丹、飞龙宝杖降伏黄风怪。</x:v>
      </x:c>
      <x:c r="E22" s="27" t="str">
        <x:v>孙悟空、猪八戒、灵吉菩萨、黄风怪</x:v>
      </x:c>
      <x:c r="F22" s="27" t="str">
        <x:v>须弥山、黄风岭</x:v>
      </x:c>
      <x:c r="G22" s="27" t="str">
        <x:v>灵吉、定风、外援、降伏</x:v>
      </x:c>
      <x:c r="H22" s="27" t="str">
        <x:v>修行不是个人英雄主义；某些难题需要对应系统资源解决。</x:v>
      </x:c>
      <x:c r="I22" s="27" t="str">
        <x:v>复杂问题要找对专家；组织协同的价值在于知道何时升级求援。</x:v>
      </x:c>
      <x:c r="J22" s="27" t="str">
        <x:v>承认有限，才是真正成熟；求援不是失败，是识别边界。</x:v>
      </x:c>
      <x:c r="K22" s="27" t="str">
        <x:v>太白/护法指引、灵吉菩萨、定风魔</x:v>
      </x:c>
      <x:c r="L22" s="27" t="str">
        <x:v>待校核原文</x:v>
      </x:c>
      <x:c r="M22" s="27" t="str">
        <x:v>https://zh.wikisource.org/wiki/西游记/第二十一回</x:v>
      </x:c>
      <x:c r="N22" s="27" t="str">
        <x:v>可与第17回“请观音”对照。</x:v>
      </x:c>
    </x:row>
    <x:row r="23" ht="39.599998474121094" hidden="0" customHeight="1">
      <x:c r="A23" s="27" t="n">
        <x:v>22</x:v>
      </x:c>
      <x:c r="B23" s="27" t="str">
        <x:v>八戒大战流沙河 木叉奉法收悟净</x:v>
      </x:c>
      <x:c r="C23" s="27" t="str">
        <x:v>团队完成/沙僧归队</x:v>
      </x:c>
      <x:c r="D23" s="27" t="str">
        <x:v>唐僧至流沙河受阻，八戒与沙悟净交战，木叉奉观音法旨收伏悟净，沙僧正式加入。</x:v>
      </x:c>
      <x:c r="E23" s="27" t="str">
        <x:v>唐僧、孙悟空、猪八戒、沙悟净、木叉、观音</x:v>
      </x:c>
      <x:c r="F23" s="27" t="str">
        <x:v>流沙河</x:v>
      </x:c>
      <x:c r="G23" s="27" t="str">
        <x:v>流沙、悟净、木叉、团队完成</x:v>
      </x:c>
      <x:c r="H23" s="27" t="str">
        <x:v>“悟净”补足稳定、承受、净化之维；取经四众基本成型。</x:v>
      </x:c>
      <x:c r="I23" s="27" t="str">
        <x:v>团队需要冲锋者、协调者、承载者和稳定执行者，缺一不可。</x:v>
      </x:c>
      <x:c r="J23" s="27" t="str">
        <x:v>最不起眼的稳定力量，往往决定长途任务能否持续。</x:v>
      </x:c>
      <x:c r="K23" s="27" t="str">
        <x:v>流沙河受阻、八戒大战、木叉奉法、收悟净</x:v>
      </x:c>
      <x:c r="L23" s="27" t="str">
        <x:v>待校核原文</x:v>
      </x:c>
      <x:c r="M23" s="27" t="str">
        <x:v>https://zh.wikisource.org/wiki/西游记/第二十二回</x:v>
      </x:c>
      <x:c r="N23" s="27" t="str">
        <x:v>至此唐僧、悟空、八戒、沙僧、白龙马基本齐备。</x:v>
      </x:c>
    </x:row>
    <x:row r="24" ht="39.599998474121094" hidden="0" customHeight="1">
      <x:c r="A24" s="27" t="n">
        <x:v>23</x:v>
      </x:c>
      <x:c r="B24" s="27" t="str">
        <x:v>三藏不忘本 四圣试禅心</x:v>
      </x:c>
      <x:c r="C24" s="27" t="str">
        <x:v>团队戒律测试/信念校验</x:v>
      </x:c>
      <x:c r="D24" s="27" t="str">
        <x:v>黎山老母与观音、文殊、普贤化作母女，以招赘试探取经众人；八戒动心受戒惩。</x:v>
      </x:c>
      <x:c r="E24" s="27" t="str">
        <x:v>唐僧、孙悟空、猪八戒、沙悟净、四圣</x:v>
      </x:c>
      <x:c r="F24" s="27" t="str">
        <x:v>庄院/荒野途中</x:v>
      </x:c>
      <x:c r="G24" s="27" t="str">
        <x:v>试禅心、戒律、欲望、团队校验</x:v>
      </x:c>
      <x:c r="H24" s="27" t="str">
        <x:v>取经团队成型后首先接受的是信念与戒律测试。</x:v>
      </x:c>
      <x:c r="I24" s="27" t="str">
        <x:v>组织刚成型后需做价值观压力测试；能力齐备不等于使命稳定。</x:v>
      </x:c>
      <x:c r="J24" s="27" t="str">
        <x:v>团队最早暴露的短板不是能力，而是欲望与意志。</x:v>
      </x:c>
      <x:c r="K24" s="27" t="str">
        <x:v>四圣设局、八戒动心、被吊树上受惩</x:v>
      </x:c>
      <x:c r="L24" s="27" t="str">
        <x:v>待校核原文</x:v>
      </x:c>
      <x:c r="M24" s="27" t="str">
        <x:v>https://zh.wikisource.org/wiki/西游记/第二十三回</x:v>
      </x:c>
      <x:c r="N24" s="27" t="str">
        <x:v>可作为“团队试炼第一课”专题。</x:v>
      </x:c>
    </x:row>
    <x:row r="25" ht="39.599998474121094" hidden="0" customHeight="1">
      <x:c r="A25" s="27" t="n">
        <x:v>24</x:v>
      </x:c>
      <x:c r="B25" s="27" t="str">
        <x:v>万寿山大仙留故友 五庄观行者窃人参</x:v>
      </x:c>
      <x:c r="C25" s="27" t="str">
        <x:v>贪念与资源诱惑</x:v>
      </x:c>
      <x:c r="D25" s="27" t="str">
        <x:v>师徒至五庄观，镇元大仙留童子接待；人参果引发八戒馋念、悟空窃果。</x:v>
      </x:c>
      <x:c r="E25" s="27" t="str">
        <x:v>唐僧、孙悟空、猪八戒、清风、明月、镇元大仙</x:v>
      </x:c>
      <x:c r="F25" s="27" t="str">
        <x:v>万寿山、五庄观</x:v>
      </x:c>
      <x:c r="G25" s="27" t="str">
        <x:v>人参果、资源、馋念、仙府</x:v>
      </x:c>
      <x:c r="H25" s="27" t="str">
        <x:v>珍稀资源诱发欲望与不当获取。</x:v>
      </x:c>
      <x:c r="I25" s="27" t="str">
        <x:v>资源管理和接待流程若缺少透明边界，容易引发误会与风险。</x:v>
      </x:c>
      <x:c r="J25" s="27" t="str">
        <x:v>面对稀缺之物，最考验的是心中分寸。</x:v>
      </x:c>
      <x:c r="K25" s="27" t="str">
        <x:v>人参果介绍、八戒怂恿、悟空窃果</x:v>
      </x:c>
      <x:c r="L25" s="27" t="str">
        <x:v>待校核原文</x:v>
      </x:c>
      <x:c r="M25" s="27" t="str">
        <x:v>https://zh.wikisource.org/wiki/西游记/第二十四回</x:v>
      </x:c>
      <x:c r="N25" s="27" t="str">
        <x:v>与第25—26回合看。</x:v>
      </x:c>
    </x:row>
    <x:row r="26" ht="39.599998474121094" hidden="0" customHeight="1">
      <x:c r="A26" s="27" t="n">
        <x:v>25</x:v>
      </x:c>
      <x:c r="B26" s="27" t="str">
        <x:v>镇元仙赶捉取经僧 孙行者大闹五庄观</x:v>
      </x:c>
      <x:c r="C26" s="27" t="str">
        <x:v>冲突升级/破坏性反应</x:v>
      </x:c>
      <x:c r="D26" s="27" t="str">
        <x:v>清风明月责骂，悟空怒推人参果树；镇元大仙回观追拿师徒。</x:v>
      </x:c>
      <x:c r="E26" s="27" t="str">
        <x:v>孙悟空、镇元大仙、唐僧、清风、明月</x:v>
      </x:c>
      <x:c r="F26" s="27" t="str">
        <x:v>五庄观</x:v>
      </x:c>
      <x:c r="G26" s="27" t="str">
        <x:v>人参果树、冲突升级、破坏</x:v>
      </x:c>
      <x:c r="H26" s="27" t="str">
        <x:v>一念嗔怒使小错升级为大祸。</x:v>
      </x:c>
      <x:c r="I26" s="27" t="str">
        <x:v>冲突处理中，强能力者的过激反应会把可调解问题变成系统事故。</x:v>
      </x:c>
      <x:c r="J26" s="27" t="str">
        <x:v>越是有本领，越要警惕情绪性的破坏。</x:v>
      </x:c>
      <x:c r="K26" s="27" t="str">
        <x:v>童子责骂、悟空推树、镇元追赶</x:v>
      </x:c>
      <x:c r="L26" s="27" t="str">
        <x:v>待校核原文</x:v>
      </x:c>
      <x:c r="M26" s="27" t="str">
        <x:v>https://zh.wikisource.org/wiki/西游记/第二十五回</x:v>
      </x:c>
      <x:c r="N26" s="27" t="str">
        <x:v>适合写风险升级链条。</x:v>
      </x:c>
    </x:row>
    <x:row r="27" ht="39.599998474121094" hidden="0" customHeight="1">
      <x:c r="A27" s="27" t="n">
        <x:v>26</x:v>
      </x:c>
      <x:c r="B27" s="27" t="str">
        <x:v>孙悟空三岛求方 观世音甘泉活树</x:v>
      </x:c>
      <x:c r="C27" s="27" t="str">
        <x:v>补救与外援协同</x:v>
      </x:c>
      <x:c r="D27" s="27" t="str">
        <x:v>悟空多方求医无果，最终请观音以甘露救活人参果树，化解五庄观之难。</x:v>
      </x:c>
      <x:c r="E27" s="27" t="str">
        <x:v>孙悟空、观音、镇元大仙、福禄寿三星</x:v>
      </x:c>
      <x:c r="F27" s="27" t="str">
        <x:v>三岛、南海、五庄观</x:v>
      </x:c>
      <x:c r="G27" s="27" t="str">
        <x:v>求方、甘露、补救、和解</x:v>
      </x:c>
      <x:c r="H27" s="27" t="str">
        <x:v>修行不只是犯错，更在能否补救、担责与和解。</x:v>
      </x:c>
      <x:c r="I27" s="27" t="str">
        <x:v>危机处理需要承认责任、寻找专业外援、修复受损关系。</x:v>
      </x:c>
      <x:c r="J27" s="27" t="str">
        <x:v>真正的成熟，是能为自己造成的破坏善后。</x:v>
      </x:c>
      <x:c r="K27" s="27" t="str">
        <x:v>三岛求方、观音甘泉活树、镇元与悟空结义</x:v>
      </x:c>
      <x:c r="L27" s="27" t="str">
        <x:v>待校核原文</x:v>
      </x:c>
      <x:c r="M27" s="27" t="str">
        <x:v>https://zh.wikisource.org/wiki/西游记/第二十六回</x:v>
      </x:c>
      <x:c r="N27" s="27" t="str">
        <x:v>与“有能力也要会求援”专题衔接。</x:v>
      </x:c>
    </x:row>
    <x:row r="28" ht="39.599998474121094" hidden="0" customHeight="1">
      <x:c r="A28" s="27" t="n">
        <x:v>27</x:v>
      </x:c>
      <x:c r="B28" s="27" t="str">
        <x:v>尸魔三戏唐三藏 圣僧恨逐美猴王</x:v>
      </x:c>
      <x:c r="C28" s="27" t="str">
        <x:v>信任危机/误判核心能力</x:v>
      </x:c>
      <x:c r="D28" s="27" t="str">
        <x:v>白骨精三次变化诱骗唐僧，悟空三打白骨精；唐僧误信表象和八戒挑拨，逐走悟空。</x:v>
      </x:c>
      <x:c r="E28" s="27" t="str">
        <x:v>唐僧、孙悟空、猪八戒、沙悟净、白骨精</x:v>
      </x:c>
      <x:c r="F28" s="27" t="str">
        <x:v>白虎岭</x:v>
      </x:c>
      <x:c r="G28" s="27" t="str">
        <x:v>白骨精、三打、误判、逐猴王</x:v>
      </x:c>
      <x:c r="H28" s="27" t="str">
        <x:v>真假难辨时，信任与判断成为最大考验。</x:v>
      </x:c>
      <x:c r="I28" s="27" t="str">
        <x:v>领导者若缺乏专业识别能力，又被内部噪声干扰，会驱逐关键人才。</x:v>
      </x:c>
      <x:c r="J28" s="27" t="str">
        <x:v>看不透妖，不只是眼力问题，也是心中信任问题。</x:v>
      </x:c>
      <x:c r="K28" s="27" t="str">
        <x:v>白骨精三变、悟空三打、唐僧逐猴</x:v>
      </x:c>
      <x:c r="L28" s="27" t="str">
        <x:v>待校核原文</x:v>
      </x:c>
      <x:c r="M28" s="27" t="str">
        <x:v>https://zh.wikisource.org/wiki/西游记/第二十七回</x:v>
      </x:c>
      <x:c r="N28" s="27" t="str">
        <x:v>《西游记》最重要的团队危机之一。</x:v>
      </x:c>
    </x:row>
    <x:row r="29" ht="39.599998474121094" hidden="0" customHeight="1">
      <x:c r="A29" s="27" t="n">
        <x:v>28</x:v>
      </x:c>
      <x:c r="B29" s="27" t="str">
        <x:v>花果山群妖聚义 黑松林三藏逢魔</x:v>
      </x:c>
      <x:c r="C29" s="27" t="str">
        <x:v>核心能力离队/风险暴露</x:v>
      </x:c>
      <x:c r="D29" s="27" t="str">
        <x:v>悟空归花果山，唐僧师徒失去主要护法；唐僧在黑松林遇黄袍怪相关危机。</x:v>
      </x:c>
      <x:c r="E29" s="27" t="str">
        <x:v>孙悟空、唐僧、猪八戒、沙悟净、黄袍怪</x:v>
      </x:c>
      <x:c r="F29" s="27" t="str">
        <x:v>花果山、黑松林、碗子山</x:v>
      </x:c>
      <x:c r="G29" s="27" t="str">
        <x:v>离队、失防、逢魔、黄袍怪</x:v>
      </x:c>
      <x:c r="H29" s="27" t="str">
        <x:v>团队失去关键护法后，外部风险迅速放大。</x:v>
      </x:c>
      <x:c r="I29" s="27" t="str">
        <x:v>关键岗位离场后，组织脆弱性会在复杂环境中集中暴露。</x:v>
      </x:c>
      <x:c r="J29" s="27" t="str">
        <x:v>人常在失去保护后，才知道专业能力的价值。</x:v>
      </x:c>
      <x:c r="K29" s="27" t="str">
        <x:v>悟空归山、唐僧黑松林逢魔</x:v>
      </x:c>
      <x:c r="L29" s="27" t="str">
        <x:v>待校核原文</x:v>
      </x:c>
      <x:c r="M29" s="27" t="str">
        <x:v>https://zh.wikisource.org/wiki/西游记/第二十八回</x:v>
      </x:c>
      <x:c r="N29" s="27" t="str">
        <x:v>与第29—31回合为宝象国危机。</x:v>
      </x:c>
    </x:row>
    <x:row r="30" ht="26.399999618530273" hidden="0" customHeight="1">
      <x:c r="A30" s="27" t="n">
        <x:v>29</x:v>
      </x:c>
      <x:c r="B30" s="27" t="str">
        <x:v>脱难江流来国土 承恩八戒转山林</x:v>
      </x:c>
      <x:c r="C30" s="27" t="str">
        <x:v>宝象国危机/求援启动</x:v>
      </x:c>
      <x:c r="D30" s="27" t="str">
        <x:v>唐僧牵入宝象国与百花羞、黄袍怪事件；八戒转向花果山求援。</x:v>
      </x:c>
      <x:c r="E30" s="27" t="str">
        <x:v>唐僧、猪八戒、沙悟净、百花羞、黄袍怪、宝象国王</x:v>
      </x:c>
      <x:c r="F30" s="27" t="str">
        <x:v>宝象国、波月洞、花果山</x:v>
      </x:c>
      <x:c r="G30" s="27" t="str">
        <x:v>宝象国、求援、转山林、危机升级</x:v>
      </x:c>
      <x:c r="H30" s="27" t="str">
        <x:v>离队后的团队开始承认自身能力不足。</x:v>
      </x:c>
      <x:c r="I30" s="27" t="str">
        <x:v>求援不是示弱，而是识别组织能力边界后的必要动作。</x:v>
      </x:c>
      <x:c r="J30" s="27" t="str">
        <x:v>知道请谁回来，也是团队自救的一部分。</x:v>
      </x:c>
      <x:c r="K30" s="27" t="str">
        <x:v>百花羞传信、宝象国求助、八戒赴花果山</x:v>
      </x:c>
      <x:c r="L30" s="27" t="str">
        <x:v>待校核原文</x:v>
      </x:c>
      <x:c r="M30" s="27" t="str">
        <x:v>https://zh.wikisource.org/wiki/西游记/第二十九回</x:v>
      </x:c>
      <x:c r="N30" s="27" t="str">
        <x:v>八戒从问题制造者转为修复推动者。</x:v>
      </x:c>
    </x:row>
    <x:row r="31" ht="26.399999618530273" hidden="0" customHeight="1">
      <x:c r="A31" s="27" t="n">
        <x:v>30</x:v>
      </x:c>
      <x:c r="B31" s="27" t="str">
        <x:v>邪魔侵正法 意马忆心猿</x:v>
      </x:c>
      <x:c r="C31" s="27" t="str">
        <x:v>系统失衡/意马忆心猿</x:v>
      </x:c>
      <x:c r="D31" s="27" t="str">
        <x:v>黄袍怪作乱，唐僧被困，白龙马和八戒等意识到必须请回悟空。</x:v>
      </x:c>
      <x:c r="E31" s="27" t="str">
        <x:v>唐僧、猪八戒、沙悟净、白龙马、黄袍怪、孙悟空</x:v>
      </x:c>
      <x:c r="F31" s="27" t="str">
        <x:v>宝象国、花果山</x:v>
      </x:c>
      <x:c r="G31" s="27" t="str">
        <x:v>邪魔、正法、意马、心猿</x:v>
      </x:c>
      <x:c r="H31" s="27" t="str">
        <x:v>心猿离去，意马不安；团队秩序需要核心能力与心性力量。</x:v>
      </x:c>
      <x:c r="I31" s="27" t="str">
        <x:v>组织失衡时，沉默角色也会发声，推动关键资源回归。</x:v>
      </x:c>
      <x:c r="J31" s="27" t="str">
        <x:v>失去心猿，路便难行；重新忆起，是修复的开始。</x:v>
      </x:c>
      <x:c r="K31" s="27" t="str">
        <x:v>白龙马劝八戒、八戒请悟空、危机深化</x:v>
      </x:c>
      <x:c r="L31" s="27" t="str">
        <x:v>待校核原文</x:v>
      </x:c>
      <x:c r="M31" s="27" t="str">
        <x:v>https://zh.wikisource.org/wiki/西游记/第三十回</x:v>
      </x:c>
      <x:c r="N31" s="27" t="str">
        <x:v>可与“白龙马的关键时刻”专题结合。</x:v>
      </x:c>
    </x:row>
    <x:row r="32" ht="39.599998474121094" hidden="0" customHeight="1">
      <x:c r="A32" s="27" t="n">
        <x:v>31</x:v>
      </x:c>
      <x:c r="B32" s="27" t="str">
        <x:v>猪八戒义激猴王 孙行者智降妖怪</x:v>
      </x:c>
      <x:c r="C32" s="27" t="str">
        <x:v>信任修复/核心能力回归</x:v>
      </x:c>
      <x:c r="D32" s="27" t="str">
        <x:v>八戒以激将法请回悟空；悟空降伏黄袍怪，查明其为奎木狼下凡，团队危机解除。</x:v>
      </x:c>
      <x:c r="E32" s="27" t="str">
        <x:v>猪八戒、孙悟空、唐僧、黄袍怪、奎木狼、天庭星宿</x:v>
      </x:c>
      <x:c r="F32" s="27" t="str">
        <x:v>花果山、宝象国、天庭</x:v>
      </x:c>
      <x:c r="G32" s="27" t="str">
        <x:v>义激、智降、奎木狼、回归</x:v>
      </x:c>
      <x:c r="H32" s="27" t="str">
        <x:v>团队修复不靠简单道歉，而靠重新确认彼此不可替代。</x:v>
      </x:c>
      <x:c r="I32" s="27" t="str">
        <x:v>关键人才回归需要台阶、信任修复和问题闭环。</x:v>
      </x:c>
      <x:c r="J32" s="27" t="str">
        <x:v>真正的和解，是经历误判后仍能重新同行。</x:v>
      </x:c>
      <x:c r="K32" s="27" t="str">
        <x:v>八戒义激、悟空回归、智降黄袍怪、天庭收回奎木狼</x:v>
      </x:c>
      <x:c r="L32" s="27" t="str">
        <x:v>待校核原文</x:v>
      </x:c>
      <x:c r="M32" s="27" t="str">
        <x:v>https://zh.wikisource.org/wiki/西游记/第三十一回</x:v>
      </x:c>
      <x:c r="N32" s="27" t="str">
        <x:v>团队信任危机阶段收束。</x:v>
      </x:c>
    </x:row>
    <x:row r="33" ht="52.79999923706055" hidden="0" customHeight="1">
      <x:c r="A33" s="27" t="n">
        <x:v>32</x:v>
      </x:c>
      <x:c r="B33" s="27" t="str">
        <x:v>平顶山功曹传信 莲花洞木母逢灾</x:v>
      </x:c>
      <x:c r="C33" s="27" t="str">
        <x:v>平顶山莲花洞段/制度资源外溢</x:v>
      </x:c>
      <x:c r="D33" s="27" t="str">
        <x:v>功曹暗中传信提醒前方妖怪，唐僧师徒至平顶山，八戒巡山被莲花洞金角、银角系统捕获，团队进入法宝型风险场景。</x:v>
      </x:c>
      <x:c r="E33" s="27" t="str">
        <x:v>唐僧、孙悟空、猪八戒、金角大王、银角大王、功曹</x:v>
      </x:c>
      <x:c r="F33" s="27" t="str">
        <x:v>平顶山、莲花洞</x:v>
      </x:c>
      <x:c r="G33" s="27" t="str">
        <x:v>功曹传信、巡山、莲花洞、木母逢灾、法宝风险</x:v>
      </x:c>
      <x:c r="H33" s="27" t="str">
        <x:v>外魔并非全靠蛮力，而常依托资源、器物、系统后台；取经路进入“法宝—名号—规则”斗法阶段。</x:v>
      </x:c>
      <x:c r="I33" s="27" t="str">
        <x:v>预警机制与现场执行脱节：有前端预警，但团队仍因任务分配与个体弱点进入风险。</x:v>
      </x:c>
      <x:c r="J33" s="27" t="str">
        <x:v>提醒不等于避险；知道前方有难，还要有清晰分工、验证机制和应急预案。</x:v>
      </x:c>
      <x:c r="K33" s="27" t="str">
        <x:v>功曹传信、八戒巡山、金角银角捉拿场景</x:v>
      </x:c>
      <x:c r="L33" s="27" t="str">
        <x:v>待校核原文</x:v>
      </x:c>
      <x:c r="M33" s="27" t="str">
        <x:v>https://zh.wikisource.org/wiki/西游记/第三十二回</x:v>
      </x:c>
      <x:c r="N33" s="27" t="str">
        <x:v>V0.5主段起点；可接“风险预警为什么失效”专题。</x:v>
      </x:c>
    </x:row>
    <x:row r="34" ht="39.599998474121094" hidden="0" customHeight="1">
      <x:c r="A34" s="27" t="n">
        <x:v>33</x:v>
      </x:c>
      <x:c r="B34" s="27" t="str">
        <x:v>外道迷真性 元神助本心</x:v>
      </x:c>
      <x:c r="C34" s="27" t="str">
        <x:v>平顶山莲花洞段/心性与身份识别</x:v>
      </x:c>
      <x:c r="D34" s="27" t="str">
        <x:v>金角、银角以变化、名号和法宝迷惑取经团队，悟空以机变周旋，内外真假持续转换。</x:v>
      </x:c>
      <x:c r="E34" s="27" t="str">
        <x:v>孙悟空、唐僧、猪八戒、沙僧、金角大王、银角大王</x:v>
      </x:c>
      <x:c r="F34" s="27" t="str">
        <x:v>平顶山、莲花洞</x:v>
      </x:c>
      <x:c r="G34" s="27" t="str">
        <x:v>外道、真性、元神、本心、变化、迷惑</x:v>
      </x:c>
      <x:c r="H34" s="27" t="str">
        <x:v>“外道迷真性”提示本段不只是妖怪作乱，更是对本心、名号、真假识别的考验。</x:v>
      </x:c>
      <x:c r="I34" s="27" t="str">
        <x:v>组织遇到复杂对手时，容易被表层身份、话术和工具压制，必须回到核心判断。</x:v>
      </x:c>
      <x:c r="J34" s="27" t="str">
        <x:v>越是复杂局面，越要守住本心；越是强工具，越要辨清其背后的规则。</x:v>
      </x:c>
      <x:c r="K34" s="27" t="str">
        <x:v>金角银角设局、悟空识变、师徒被困相关段落</x:v>
      </x:c>
      <x:c r="L34" s="27" t="str">
        <x:v>待校核原文</x:v>
      </x:c>
      <x:c r="M34" s="27" t="str">
        <x:v>https://zh.wikisource.org/wiki/西游记/第三十三回</x:v>
      </x:c>
      <x:c r="N34" s="27" t="str">
        <x:v>适合与三打白骨精的“识假”专题对读。</x:v>
      </x:c>
    </x:row>
    <x:row r="35" ht="39.599998474121094" hidden="0" customHeight="1">
      <x:c r="A35" s="27" t="n">
        <x:v>34</x:v>
      </x:c>
      <x:c r="B35" s="27" t="str">
        <x:v>魔王巧算困心猿 大圣腾那骗宝贝</x:v>
      </x:c>
      <x:c r="C35" s="27" t="str">
        <x:v>平顶山莲花洞段/法宝与规则反制</x:v>
      </x:c>
      <x:c r="D35" s="27" t="str">
        <x:v>金角、银角依靠紫金红葫芦等法宝设计困住悟空，悟空反以智谋、腾挪、骗取法宝破解局面。</x:v>
      </x:c>
      <x:c r="E35" s="27" t="str">
        <x:v>孙悟空、金角大王、银角大王、精细鬼、伶俐虫</x:v>
      </x:c>
      <x:c r="F35" s="27" t="str">
        <x:v>莲花洞、平顶山</x:v>
      </x:c>
      <x:c r="G35" s="27" t="str">
        <x:v>巧算、困心猿、骗宝贝、法宝、规则反制</x:v>
      </x:c>
      <x:c r="H35" s="27" t="str">
        <x:v>心猿被困不是能力不足，而是对方掌握规则化工具；悟空的胜点在于理解规则并反向使用。</x:v>
      </x:c>
      <x:c r="I35" s="27" t="str">
        <x:v>面对工具型、制度型风险，不能只靠勇力，要会读规则、用规则、反制规则。</x:v>
      </x:c>
      <x:c r="J35" s="27" t="str">
        <x:v>成熟的能力不是硬闯，而是在约束中找到转圜。</x:v>
      </x:c>
      <x:c r="K35" s="27" t="str">
        <x:v>紫金红葫芦、叫名收人、悟空骗取宝贝相关段落</x:v>
      </x:c>
      <x:c r="L35" s="27" t="str">
        <x:v>待校核原文</x:v>
      </x:c>
      <x:c r="M35" s="27" t="str">
        <x:v>https://zh.wikisource.org/wiki/西游记/第三十四回</x:v>
      </x:c>
      <x:c r="N35" s="27" t="str">
        <x:v>可作为“AI时代工具崇拜与规则反制”的类比素材。</x:v>
      </x:c>
    </x:row>
    <x:row r="36" ht="52.79999923706055" hidden="0" customHeight="1">
      <x:c r="A36" s="27" t="n">
        <x:v>35</x:v>
      </x:c>
      <x:c r="B36" s="27" t="str">
        <x:v>外道施威欺正性 心猿获宝伏邪魔</x:v>
      </x:c>
      <x:c r="C36" s="27" t="str">
        <x:v>平顶山莲花洞段/后台揭示与闭环处置</x:v>
      </x:c>
      <x:c r="D36" s="27" t="str">
        <x:v>悟空获宝反制金角银角，最后揭示二怪为太上老君看炉童子，法宝亦出自老君系统，妖怪被收回。</x:v>
      </x:c>
      <x:c r="E36" s="27" t="str">
        <x:v>孙悟空、唐僧、猪八戒、沙僧、金角大王、银角大王、太上老君</x:v>
      </x:c>
      <x:c r="F36" s="27" t="str">
        <x:v>莲花洞、平顶山</x:v>
      </x:c>
      <x:c r="G36" s="27" t="str">
        <x:v>外道施威、心猿获宝、伏邪魔、太上老君、后台</x:v>
      </x:c>
      <x:c r="H36" s="27" t="str">
        <x:v>所谓邪魔部分来自正统系统的外溢；后台收回解决个案，但制度漏洞仍值得追问。</x:v>
      </x:c>
      <x:c r="I36" s="27" t="str">
        <x:v>资源管理、人员管理、器物管理如果失控，内部系统会外溢为外部风险。</x:v>
      </x:c>
      <x:c r="J36" s="27" t="str">
        <x:v>真正的闭环不只是降妖，还应追问资源为何流出、童子为何下界、责任如何归位。</x:v>
      </x:c>
      <x:c r="K36" s="27" t="str">
        <x:v>悟空获宝降魔、太上老君认领童子和法宝相关段落</x:v>
      </x:c>
      <x:c r="L36" s="27" t="str">
        <x:v>待校核原文</x:v>
      </x:c>
      <x:c r="M36" s="27" t="str">
        <x:v>https://zh.wikisource.org/wiki/西游记/第三十五回</x:v>
      </x:c>
      <x:c r="N36" s="27" t="str">
        <x:v>“有后台妖怪”专题的代表段落之一。</x:v>
      </x:c>
    </x:row>
    <x:row r="37" ht="52.79999923706055" hidden="0" customHeight="1">
      <x:c r="A37" s="27" t="n">
        <x:v>36</x:v>
      </x:c>
      <x:c r="B37" s="27" t="str">
        <x:v>心猿正处诸缘伏 劈破旁门见月明</x:v>
      </x:c>
      <x:c r="C37" s="27" t="str">
        <x:v>乌鸡国段/真假王权开端</x:v>
      </x:c>
      <x:c r="D37" s="27" t="str">
        <x:v>唐僧师徒夜宿宝林寺，乌鸡国真王托梦申冤，揭出假王篡位与井中藏尸之案。</x:v>
      </x:c>
      <x:c r="E37" s="27" t="str">
        <x:v>唐僧、孙悟空、乌鸡国真王、八戒、沙僧</x:v>
      </x:c>
      <x:c r="F37" s="27" t="str">
        <x:v>宝林寺、乌鸡国</x:v>
      </x:c>
      <x:c r="G37" s="27" t="str">
        <x:v>托梦、冤案、假王、合法性</x:v>
      </x:c>
      <x:c r="H37" s="27" t="str">
        <x:v>从外在妖魔转入制度内部的真假问题；王权被冒名顶替，秩序表面仍然运转。</x:v>
      </x:c>
      <x:c r="I37" s="27" t="str">
        <x:v>组织风险从“外敌入侵”升级为“身份冒用/权力替换”；表面制度正常，实质合法性已被侵蚀。</x:v>
      </x:c>
      <x:c r="J37" s="27" t="str">
        <x:v>真正的风险不一定在门外，也可能坐在王座上；识别真假，需要证据链与复核机制。</x:v>
      </x:c>
      <x:c r="K37" s="27" t="str">
        <x:v>夜宿宝林寺、真王托梦、诉说被推入井中</x:v>
      </x:c>
      <x:c r="L37" s="27" t="str">
        <x:v>待校核原文</x:v>
      </x:c>
      <x:c r="M37" s="27" t="str">
        <x:v>https://zh.wikisource.org/wiki/西游记/%E7%AC%AC%E4%B8%89%E5%8D%81%E5%85%AD%E5%9B%9E</x:v>
      </x:c>
      <x:c r="N37" s="27" t="str">
        <x:v>本回开启乌鸡国真假王权专题。</x:v>
      </x:c>
    </x:row>
    <x:row r="38" ht="52.79999923706055" hidden="0" customHeight="1">
      <x:c r="A38" s="27" t="n">
        <x:v>37</x:v>
      </x:c>
      <x:c r="B38" s="27" t="str">
        <x:v>鬼王夜谒唐三藏 悟空神化引婴儿</x:v>
      </x:c>
      <x:c r="C38" s="27" t="str">
        <x:v>乌鸡国段/证据启动</x:v>
      </x:c>
      <x:c r="D38" s="27" t="str">
        <x:v>真王鬼魂向唐僧申冤，悟空设法引出太子，使太子接触取经人，形成查案线索。</x:v>
      </x:c>
      <x:c r="E38" s="27" t="str">
        <x:v>唐僧、孙悟空、乌鸡国太子、真王鬼魂</x:v>
      </x:c>
      <x:c r="F38" s="27" t="str">
        <x:v>宝林寺、乌鸡国</x:v>
      </x:c>
      <x:c r="G38" s="27" t="str">
        <x:v>鬼王夜谒、太子、证据链、调查</x:v>
      </x:c>
      <x:c r="H38" s="27" t="str">
        <x:v>冤案昭雪需要从“个人叙述”走向“可验证线索”；信任不是盲信，而要进入调查程序。</x:v>
      </x:c>
      <x:c r="I38" s="27" t="str">
        <x:v>重大问题处理不能只听一面之词，需要找到关键相关方、形成事实闭环。</x:v>
      </x:c>
      <x:c r="J38" s="27" t="str">
        <x:v>善良需要方法，正义也要证据；没有证据链，真相难以进入公共秩序。</x:v>
      </x:c>
      <x:c r="K38" s="27" t="str">
        <x:v>鬼王夜谒、悟空引太子、太子与母后线索</x:v>
      </x:c>
      <x:c r="L38" s="27" t="str">
        <x:v>待校核原文</x:v>
      </x:c>
      <x:c r="M38" s="27" t="str">
        <x:v>https://zh.wikisource.org/wiki/西游记/%E7%AC%AC%E4%B8%89%E5%8D%81%E4%B8%83%E5%9B%9E</x:v>
      </x:c>
      <x:c r="N38" s="27" t="str">
        <x:v>适合与现代治理中的调查核实、证据闭环类比。</x:v>
      </x:c>
    </x:row>
    <x:row r="39" ht="52.79999923706055" hidden="0" customHeight="1">
      <x:c r="A39" s="27" t="n">
        <x:v>38</x:v>
      </x:c>
      <x:c r="B39" s="27" t="str">
        <x:v>婴儿问母知邪正 金木参玄见假真</x:v>
      </x:c>
      <x:c r="C39" s="27" t="str">
        <x:v>乌鸡国段/真假辨识</x:v>
      </x:c>
      <x:c r="D39" s="27" t="str">
        <x:v>太子问母得知真相线索，悟空等推进真假辨识；八戒下井背出国王尸身，案件进入实证阶段。</x:v>
      </x:c>
      <x:c r="E39" s="27" t="str">
        <x:v>孙悟空、猪八戒、沙僧、乌鸡国太子、王后、井龙王</x:v>
      </x:c>
      <x:c r="F39" s="27" t="str">
        <x:v>乌鸡国、御花园、井中</x:v>
      </x:c>
      <x:c r="G39" s="27" t="str">
        <x:v>问母、邪正、井中尸身、假真</x:v>
      </x:c>
      <x:c r="H39" s="27" t="str">
        <x:v>真假辨识不是靠标签，而是靠多方印证、现场取证与关键证物。</x:v>
      </x:c>
      <x:c r="I39" s="27" t="str">
        <x:v>组织中的冒名与替代风险，必须通过现场核验、责任人访谈、关键证据确认来打穿。</x:v>
      </x:c>
      <x:c r="J39" s="27" t="str">
        <x:v>看清真假，往往要下到“井底”；不愿触碰现场，就只能被表象支配。</x:v>
      </x:c>
      <x:c r="K39" s="27" t="str">
        <x:v>太子问母、八戒下井、井龙王护尸、真王尸身</x:v>
      </x:c>
      <x:c r="L39" s="27" t="str">
        <x:v>待校核原文</x:v>
      </x:c>
      <x:c r="M39" s="27" t="str">
        <x:v>https://zh.wikisource.org/wiki/西游记/%E7%AC%AC%E4%B8%89%E5%8D%81%E5%85%AB%E5%9B%9E</x:v>
      </x:c>
      <x:c r="N39" s="27" t="str">
        <x:v>井龙王是本段重要证据保全角色。</x:v>
      </x:c>
    </x:row>
    <x:row r="40" ht="52.79999923706055" hidden="0" customHeight="1">
      <x:c r="A40" s="27" t="n">
        <x:v>39</x:v>
      </x:c>
      <x:c r="B40" s="27" t="str">
        <x:v>一粒金丹天上得 三年故主世间生</x:v>
      </x:c>
      <x:c r="C40" s="27" t="str">
        <x:v>乌鸡国段/合法性恢复</x:v>
      </x:c>
      <x:c r="D40" s="27" t="str">
        <x:v>悟空上天求得还魂仙丹，救活乌鸡国真王；假王被识破，原是文殊菩萨坐骑青毛狮子，最终被收伏。</x:v>
      </x:c>
      <x:c r="E40" s="27" t="str">
        <x:v>孙悟空、太上老君、乌鸡国真王、假王/青毛狮子、文殊菩萨</x:v>
      </x:c>
      <x:c r="F40" s="27" t="str">
        <x:v>乌鸡国、天庭、王宫</x:v>
      </x:c>
      <x:c r="G40" s="27" t="str">
        <x:v>金丹、还魂、青毛狮子、文殊、复位</x:v>
      </x:c>
      <x:c r="H40" s="27" t="str">
        <x:v>冤案昭雪后还要恢复合法性；后台揭示说明妖怪并非纯粹野生，而与神佛系统存在牵连。</x:v>
      </x:c>
      <x:c r="I40" s="27" t="str">
        <x:v>制度纠偏需要三步：查明事实、恢复主体、处理责任；若只恢复表面秩序，风险仍可能被掩盖。</x:v>
      </x:c>
      <x:c r="J40" s="27" t="str">
        <x:v>真相不是终点，纠偏与复位才是完成；越接近权力中心，越要警惕“合法外衣”。</x:v>
      </x:c>
      <x:c r="K40" s="27" t="str">
        <x:v>老君金丹、真王还魂、假王现形、文殊收狮</x:v>
      </x:c>
      <x:c r="L40" s="27" t="str">
        <x:v>待校核原文</x:v>
      </x:c>
      <x:c r="M40" s="27" t="str">
        <x:v>https://zh.wikisource.org/wiki/西游记/%E7%AC%AC%E4%B8%89%E5%8D%81%E4%B9%9D%E5%9B%9E</x:v>
      </x:c>
      <x:c r="N40" s="27" t="str">
        <x:v>是“有后台妖怪”与“合法性恢复”的重要案例。</x:v>
      </x:c>
    </x:row>
    <x:row r="41" ht="39.599998474121094" hidden="0" customHeight="1">
      <x:c r="A41" s="27" t="n">
        <x:v>40</x:v>
      </x:c>
      <x:c r="B41" s="27" t="str">
        <x:v>婴儿戏化禅心乱 猿马刀圭木母空</x:v>
      </x:c>
      <x:c r="C41" s="27" t="str">
        <x:v>红孩儿/火云洞起局</x:v>
      </x:c>
      <x:c r="D41" s="27" t="str">
        <x:v>红孩儿化作受难婴儿诱骗唐僧，唐僧慈悲心起，悟空识破却难以阻止，唐僧被摄入火云洞。</x:v>
      </x:c>
      <x:c r="E41" s="27" t="str">
        <x:v>唐僧、孙悟空、猪八戒、沙僧、红孩儿</x:v>
      </x:c>
      <x:c r="F41" s="27" t="str">
        <x:v>号山、枯松涧、火云洞</x:v>
      </x:c>
      <x:c r="G41" s="27" t="str">
        <x:v>婴儿化妖、慈悲误判、火性、诱捕</x:v>
      </x:c>
      <x:c r="H41" s="27" t="str">
        <x:v>慈悲若无识别力，容易被伪装利用；火性象征未受约束的少年力量。</x:v>
      </x:c>
      <x:c r="I41" s="27" t="str">
        <x:v>风险识别冲突：一线专业判断与领导价值判断不一致，形成保护性失败。</x:v>
      </x:c>
      <x:c r="J41" s="27" t="str">
        <x:v>善良需要智慧护持；识人辨伪不是冷酷，而是保护善念。</x:v>
      </x:c>
      <x:c r="K41" s="27" t="str">
        <x:v>红孩儿化婴、悟空劝阻、唐僧被擒、火云洞设局</x:v>
      </x:c>
      <x:c r="L41" s="27" t="str">
        <x:v>待校核原文</x:v>
      </x:c>
      <x:c r="M41" s="27" t="str">
        <x:v>https://zh.wikisource.org/wiki/西游记/第四十回</x:v>
      </x:c>
      <x:c r="N41" s="27" t="str">
        <x:v>第40—42回为红孩儿主段。</x:v>
      </x:c>
    </x:row>
    <x:row r="42" ht="39.599998474121094" hidden="0" customHeight="1">
      <x:c r="A42" s="27" t="n">
        <x:v>41</x:v>
      </x:c>
      <x:c r="B42" s="27" t="str">
        <x:v>心猿遭火败 木母被魔擒</x:v>
      </x:c>
      <x:c r="C42" s="27" t="str">
        <x:v>三昧真火/能力受挫</x:v>
      </x:c>
      <x:c r="D42" s="27" t="str">
        <x:v>红孩儿以三昧真火击败悟空，悟空求助受阻；八戒奉命请观音，却被红孩儿假扮观音诱擒。</x:v>
      </x:c>
      <x:c r="E42" s="27" t="str">
        <x:v>孙悟空、猪八戒、红孩儿、土地山神</x:v>
      </x:c>
      <x:c r="F42" s="27" t="str">
        <x:v>火云洞、南海路途</x:v>
      </x:c>
      <x:c r="G42" s="27" t="str">
        <x:v>三昧真火、假观音、能力受挫、诱捕</x:v>
      </x:c>
      <x:c r="H42" s="27" t="str">
        <x:v>强能力也有边界；真火难敌，假相更难防。</x:v>
      </x:c>
      <x:c r="I42" s="27" t="str">
        <x:v>关键能力受挫后，组织容易派出不适配成员执行高风险外联任务。</x:v>
      </x:c>
      <x:c r="J42" s="27" t="str">
        <x:v>人不能只靠勇，也不能只靠经验；越急越要防假消息、假权威。</x:v>
      </x:c>
      <x:c r="K42" s="27" t="str">
        <x:v>三昧真火、悟空败阵、八戒请观音、假观音擒八戒</x:v>
      </x:c>
      <x:c r="L42" s="27" t="str">
        <x:v>待校核原文</x:v>
      </x:c>
      <x:c r="M42" s="27" t="str">
        <x:v>https://zh.wikisource.org/wiki/西游记/第四十一回</x:v>
      </x:c>
      <x:c r="N42" s="27" t="str">
        <x:v>适合纳入‘求援机制与信息鉴别’专题。</x:v>
      </x:c>
    </x:row>
    <x:row r="43" ht="39.599998474121094" hidden="0" customHeight="1">
      <x:c r="A43" s="27" t="n">
        <x:v>42</x:v>
      </x:c>
      <x:c r="B43" s="27" t="str">
        <x:v>大圣殷勤拜南海 观音慈善缚红孩</x:v>
      </x:c>
      <x:c r="C43" s="27" t="str">
        <x:v>外部救援/收编</x:v>
      </x:c>
      <x:c r="D43" s="27" t="str">
        <x:v>悟空亲赴南海请观音，观音以法力降伏红孩儿，收为善财童子，唐僧得救。</x:v>
      </x:c>
      <x:c r="E43" s="27" t="str">
        <x:v>孙悟空、观音、红孩儿、唐僧</x:v>
      </x:c>
      <x:c r="F43" s="27" t="str">
        <x:v>南海普陀、火云洞</x:v>
      </x:c>
      <x:c r="G43" s="27" t="str">
        <x:v>观音收伏、善财童子、外部治理、收编</x:v>
      </x:c>
      <x:c r="H43" s="27" t="str">
        <x:v>失控力量不只被消灭，也可被制度化转化。</x:v>
      </x:c>
      <x:c r="I43" s="27" t="str">
        <x:v>外部权威介入并非替代一线，而是在超出能力边界时完成收束和再配置。</x:v>
      </x:c>
      <x:c r="J43" s="27" t="str">
        <x:v>真正的化解不是逞强取胜，而是让失控之力回到可用的位置。</x:v>
      </x:c>
      <x:c r="K43" s="27" t="str">
        <x:v>悟空拜南海、观音布置、红孩儿被缚、善财童子</x:v>
      </x:c>
      <x:c r="L43" s="27" t="str">
        <x:v>待校核原文</x:v>
      </x:c>
      <x:c r="M43" s="27" t="str">
        <x:v>https://zh.wikisource.org/wiki/西游记/第四十二回</x:v>
      </x:c>
      <x:c r="N43" s="27" t="str">
        <x:v>红孩儿从妖童转为善财，体现‘收编/转化’。</x:v>
      </x:c>
    </x:row>
    <x:row r="44" ht="39.599998474121094" hidden="0" customHeight="1">
      <x:c r="A44" s="27" t="n">
        <x:v>43</x:v>
      </x:c>
      <x:c r="B44" s="27" t="str">
        <x:v>黑河妖孽擒僧去 西洋龙子捉鼍回</x:v>
      </x:c>
      <x:c r="C44" s="27" t="str">
        <x:v>黑水河/龙族支系风险</x:v>
      </x:c>
      <x:c r="D44" s="27" t="str">
        <x:v>黑水河鼍龙设计擒唐僧，后由西海龙王系统出面，摩昂太子收回鼍龙。</x:v>
      </x:c>
      <x:c r="E44" s="27" t="str">
        <x:v>唐僧、孙悟空、猪八戒、沙僧、鼍龙、摩昂太子</x:v>
      </x:c>
      <x:c r="F44" s="27" t="str">
        <x:v>黑水河、西海龙宫</x:v>
      </x:c>
      <x:c r="G44" s="27" t="str">
        <x:v>水难、鼍龙、龙族外甥、亲属管控</x:v>
      </x:c>
      <x:c r="H44" s="27" t="str">
        <x:v>水域之难与家族/亲属系统失管相关。</x:v>
      </x:c>
      <x:c r="I44" s="27" t="str">
        <x:v>分支机构或亲属关系中的失控个体，往往需要原系统承担收束责任。</x:v>
      </x:c>
      <x:c r="J44" s="27" t="str">
        <x:v>很多麻烦不是陌生敌人，而是熟人系统中没有管住的人。</x:v>
      </x:c>
      <x:c r="K44" s="27" t="str">
        <x:v>黑水河设局、唐僧被擒、龙宫问责、摩昂收鼍</x:v>
      </x:c>
      <x:c r="L44" s="27" t="str">
        <x:v>待校核原文</x:v>
      </x:c>
      <x:c r="M44" s="27" t="str">
        <x:v>https://zh.wikisource.org/wiki/西游记/第四十三回</x:v>
      </x:c>
      <x:c r="N44" s="27" t="str">
        <x:v>可并入后台妖怪表。</x:v>
      </x:c>
    </x:row>
    <x:row r="45" ht="39.599998474121094" hidden="0" customHeight="1">
      <x:c r="A45" s="27" t="n">
        <x:v>44</x:v>
      </x:c>
      <x:c r="B45" s="27" t="str">
        <x:v>法身元运逢车力 心正妖邪度脊关</x:v>
      </x:c>
      <x:c r="C45" s="27" t="str">
        <x:v>车迟国/制度环境</x:v>
      </x:c>
      <x:c r="D45" s="27" t="str">
        <x:v>取经团队到车迟国，发现道士得势、僧人受压，悟空等介入，矛盾转向佛道斗法。</x:v>
      </x:c>
      <x:c r="E45" s="27" t="str">
        <x:v>唐僧、孙悟空、猪八戒、沙僧、虎力大仙、鹿力大仙、羊力大仙、车迟国王</x:v>
      </x:c>
      <x:c r="F45" s="27" t="str">
        <x:v>车迟国</x:v>
      </x:c>
      <x:c r="G45" s="27" t="str">
        <x:v>崇道抑佛、制度偏置、僧人劳役</x:v>
      </x:c>
      <x:c r="H45" s="27" t="str">
        <x:v>宗教外衣下的权力偏置，容易制造群体性不公。</x:v>
      </x:c>
      <x:c r="I45" s="27" t="str">
        <x:v>组织评价体系若被少数人操控，会把能力、信仰和身份变成压迫工具。</x:v>
      </x:c>
      <x:c r="J45" s="27" t="str">
        <x:v>公正不只看制度名义，更看制度实际保护谁、伤害谁。</x:v>
      </x:c>
      <x:c r="K45" s="27" t="str">
        <x:v>车迟国和尚受苦、三道士掌权、悟空介入</x:v>
      </x:c>
      <x:c r="L45" s="27" t="str">
        <x:v>待校核原文</x:v>
      </x:c>
      <x:c r="M45" s="27" t="str">
        <x:v>https://zh.wikisource.org/wiki/西游记/第四十四回</x:v>
      </x:c>
      <x:c r="N45" s="27" t="str">
        <x:v>第44—46回为车迟国段。</x:v>
      </x:c>
    </x:row>
    <x:row r="46" ht="39.599998474121094" hidden="0" customHeight="1">
      <x:c r="A46" s="27" t="n">
        <x:v>45</x:v>
      </x:c>
      <x:c r="B46" s="27" t="str">
        <x:v>三清观大圣留名 车迟国猴王显法</x:v>
      </x:c>
      <x:c r="C46" s="27" t="str">
        <x:v>车迟国/斗法升级</x:v>
      </x:c>
      <x:c r="D46" s="27" t="str">
        <x:v>悟空等在三清观戏弄供奉，随后与三大仙展开求雨、坐禅等斗法，揭开真假能力较量。</x:v>
      </x:c>
      <x:c r="E46" s="27" t="str">
        <x:v>孙悟空、猪八戒、沙僧、虎力大仙、鹿力大仙、羊力大仙、车迟国王</x:v>
      </x:c>
      <x:c r="F46" s="27" t="str">
        <x:v>三清观、车迟国王宫</x:v>
      </x:c>
      <x:c r="G46" s="27" t="str">
        <x:v>三清观、求雨、斗法、显法</x:v>
      </x:c>
      <x:c r="H46" s="27" t="str">
        <x:v>真假修行不在名号，而在是否有济世正用。</x:v>
      </x:c>
      <x:c r="I46" s="27" t="str">
        <x:v>形式化权威一旦垄断资源，就必须经受公开验证。</x:v>
      </x:c>
      <x:c r="J46" s="27" t="str">
        <x:v>不要只看谁站在殿上、穿着什么袍服，要看他解决什么问题。</x:v>
      </x:c>
      <x:c r="K46" s="27" t="str">
        <x:v>三清观留名、求雨斗法、国王观战</x:v>
      </x:c>
      <x:c r="L46" s="27" t="str">
        <x:v>待校核原文</x:v>
      </x:c>
      <x:c r="M46" s="27" t="str">
        <x:v>https://zh.wikisource.org/wiki/西游记/第四十五回</x:v>
      </x:c>
      <x:c r="N46" s="27" t="str">
        <x:v>适合写‘真假权威的公开验证’。</x:v>
      </x:c>
    </x:row>
    <x:row r="47" ht="39.599998474121094" hidden="0" customHeight="1">
      <x:c r="A47" s="27" t="n">
        <x:v>46</x:v>
      </x:c>
      <x:c r="B47" s="27" t="str">
        <x:v>外道弄强欺正法 心猿显圣灭诸邪</x:v>
      </x:c>
      <x:c r="C47" s="27" t="str">
        <x:v>车迟国/邪法终局</x:v>
      </x:c>
      <x:c r="D47" s="27" t="str">
        <x:v>三大仙继续以砍头、剖腹、下油锅等方式斗法，最终现出虎、鹿、羊本相，车迟国邪法破除。</x:v>
      </x:c>
      <x:c r="E47" s="27" t="str">
        <x:v>孙悟空、唐僧、三大仙、车迟国王</x:v>
      </x:c>
      <x:c r="F47" s="27" t="str">
        <x:v>车迟国</x:v>
      </x:c>
      <x:c r="G47" s="27" t="str">
        <x:v>外道、斗法、现形、制度纠偏</x:v>
      </x:c>
      <x:c r="H47" s="27" t="str">
        <x:v>邪法最怕实证；外表神圣终须接受结果检验。</x:v>
      </x:c>
      <x:c r="I47" s="27" t="str">
        <x:v>治理偏差的纠正，需要让被包装的权力在可验证场景中现形。</x:v>
      </x:c>
      <x:c r="J47" s="27" t="str">
        <x:v>真正的本事不是吓人，而是经得起检验。</x:v>
      </x:c>
      <x:c r="K47" s="27" t="str">
        <x:v>三项斗法、三大仙现形、国王醒悟</x:v>
      </x:c>
      <x:c r="L47" s="27" t="str">
        <x:v>待校核原文</x:v>
      </x:c>
      <x:c r="M47" s="27" t="str">
        <x:v>https://zh.wikisource.org/wiki/西游记/第四十六回</x:v>
      </x:c>
      <x:c r="N47" s="27" t="str">
        <x:v>车迟国段可与乌鸡国真假王权对照。</x:v>
      </x:c>
    </x:row>
    <x:row r="48" ht="52.79999923706055" hidden="0" customHeight="1">
      <x:c r="A48" s="27" t="n">
        <x:v>47</x:v>
      </x:c>
      <x:c r="B48" s="27" t="str">
        <x:v>圣僧夜阻通天水 金木垂慈救小童</x:v>
      </x:c>
      <x:c r="C48" s="27" t="str">
        <x:v>地方祭祀风险/通天河开端</x:v>
      </x:c>
      <x:c r="D48" s="27" t="str">
        <x:v>取经团队至通天河陈家庄，得知灵感大王每年索取童男童女；悟空、八戒设计替代小童，准备破除祭祀型妖患。</x:v>
      </x:c>
      <x:c r="E48" s="27" t="str">
        <x:v>唐僧、孙悟空、猪八戒、陈家兄弟、灵感大王</x:v>
      </x:c>
      <x:c r="F48" s="27" t="str">
        <x:v>通天河、陈家庄</x:v>
      </x:c>
      <x:c r="G48" s="27" t="str">
        <x:v>童男童女、地方祭祀、民生困厄、风险前置</x:v>
      </x:c>
      <x:c r="H48" s="27" t="str">
        <x:v>宗教化恐惧与地方治理失灵；“求保佑”变成持续性伤害。</x:v>
      </x:c>
      <x:c r="I48" s="27" t="str">
        <x:v>基层风险若长期制度化，会从偶发事件变成地方常规负担。</x:v>
      </x:c>
      <x:c r="J48" s="27" t="str">
        <x:v>真正的慈悲不是接受牺牲，而是终止错误规则。</x:v>
      </x:c>
      <x:c r="K48" s="27" t="str">
        <x:v>陈家庄诉苦、童男童女祭赛、悟空八戒变童设计</x:v>
      </x:c>
      <x:c r="L48" s="27" t="str">
        <x:v>待校核原文</x:v>
      </x:c>
      <x:c r="M48" s="27" t="str">
        <x:v>https://zh.wikisource.org/wiki/西游记/第四十七回</x:v>
      </x:c>
      <x:c r="N48" s="27" t="str">
        <x:v>与第49回观音鱼篮收妖连读。</x:v>
      </x:c>
    </x:row>
    <x:row r="49" ht="39.599998474121094" hidden="0" customHeight="1">
      <x:c r="A49" s="27" t="n">
        <x:v>48</x:v>
      </x:c>
      <x:c r="B49" s="27" t="str">
        <x:v>魔弄寒风飘大雪 僧思拜佛履层冰</x:v>
      </x:c>
      <x:c r="C49" s="27" t="str">
        <x:v>通天河风险升级</x:v>
      </x:c>
      <x:c r="D49" s="27" t="str">
        <x:v>灵感大王作法冰封通天河，诱使唐僧踏冰过河，唐僧被摄入水府。</x:v>
      </x:c>
      <x:c r="E49" s="27" t="str">
        <x:v>唐僧、孙悟空、猪八戒、沙僧、灵感大王</x:v>
      </x:c>
      <x:c r="F49" s="27" t="str">
        <x:v>通天河、冰面、水府</x:v>
      </x:c>
      <x:c r="G49" s="27" t="str">
        <x:v>冰封、诱导、沉水、信息误判</x:v>
      </x:c>
      <x:c r="H49" s="27" t="str">
        <x:v>外部环境被妖力重塑，安全路径变成陷阱。</x:v>
      </x:c>
      <x:c r="I49" s="27" t="str">
        <x:v>风险不只来自对象，也来自被操纵的环境和错误通行条件。</x:v>
      </x:c>
      <x:c r="J49" s="27" t="str">
        <x:v>看似便利的路，未必是安全的路。</x:v>
      </x:c>
      <x:c r="K49" s="27" t="str">
        <x:v>冰封通天河、唐僧踏冰、沉入水府</x:v>
      </x:c>
      <x:c r="L49" s="27" t="str">
        <x:v>待校核原文</x:v>
      </x:c>
      <x:c r="M49" s="27" t="str">
        <x:v>https://zh.wikisource.org/wiki/西游记/第四十八回</x:v>
      </x:c>
      <x:c r="N49" s="27" t="str">
        <x:v>可归入“环境型陷阱”。</x:v>
      </x:c>
    </x:row>
    <x:row r="50" ht="39.599998474121094" hidden="0" customHeight="1">
      <x:c r="A50" s="27" t="n">
        <x:v>49</x:v>
      </x:c>
      <x:c r="B50" s="27" t="str">
        <x:v>三藏有灾沉水宅 观音救难现鱼篮</x:v>
      </x:c>
      <x:c r="C50" s="27" t="str">
        <x:v>通天河收束/后台揭示</x:v>
      </x:c>
      <x:c r="D50" s="27" t="str">
        <x:v>悟空求助观音，观音以鱼篮收伏灵感大王；灵感原为观音莲池金鱼。</x:v>
      </x:c>
      <x:c r="E50" s="27" t="str">
        <x:v>孙悟空、观音、灵感大王、唐僧、陈家庄百姓</x:v>
      </x:c>
      <x:c r="F50" s="27" t="str">
        <x:v>南海、通天河、水府</x:v>
      </x:c>
      <x:c r="G50" s="27" t="str">
        <x:v>鱼篮、金鱼、后台、收束</x:v>
      </x:c>
      <x:c r="H50" s="27" t="str">
        <x:v>后台并非只在天庭道教系统，也存在佛门系统资源外溢。</x:v>
      </x:c>
      <x:c r="I50" s="27" t="str">
        <x:v>外部救援既解决现场问题，也揭示源头管理责任。</x:v>
      </x:c>
      <x:c r="J50" s="27" t="str">
        <x:v>能力越接近权威，越要防止外溢成害。</x:v>
      </x:c>
      <x:c r="K50" s="27" t="str">
        <x:v>悟空求观音、鱼篮现身、收回金鱼、陈家庄解厄</x:v>
      </x:c>
      <x:c r="L50" s="27" t="str">
        <x:v>待校核原文</x:v>
      </x:c>
      <x:c r="M50" s="27" t="str">
        <x:v>https://zh.wikisource.org/wiki/西游记/第四十九回</x:v>
      </x:c>
      <x:c r="N50" s="27" t="str">
        <x:v>纳入后台妖怪表重点样本。</x:v>
      </x:c>
    </x:row>
    <x:row r="51" ht="39.599998474121094" hidden="0" customHeight="1">
      <x:c r="A51" s="27" t="n">
        <x:v>50</x:v>
      </x:c>
      <x:c r="B51" s="27" t="str">
        <x:v>情乱性从因爱欲 神昏心动遇魔头</x:v>
      </x:c>
      <x:c r="C51" s="27" t="str">
        <x:v>金兜洞开端/物欲误入</x:v>
      </x:c>
      <x:c r="D51" s="27" t="str">
        <x:v>唐僧师徒误入金兜山金兜洞范围，因衣食寒困与欲望牵引陷入独角兕大王局中。</x:v>
      </x:c>
      <x:c r="E51" s="27" t="str">
        <x:v>唐僧、孙悟空、猪八戒、沙僧、独角兕大王</x:v>
      </x:c>
      <x:c r="F51" s="27" t="str">
        <x:v>金兜山、金兜洞</x:v>
      </x:c>
      <x:c r="G51" s="27" t="str">
        <x:v>爱欲、寒困、误入、物资诱惑</x:v>
      </x:c>
      <x:c r="H51" s="27" t="str">
        <x:v>物质困境与欲望牵动，会降低团队风险识别能力。</x:v>
      </x:c>
      <x:c r="I51" s="27" t="str">
        <x:v>人在饥寒、疲惫、急需时最容易进入别人设计的场景。</x:v>
      </x:c>
      <x:c r="J51" s="27" t="str">
        <x:v>困顿时更要慢一步，不要被眼前便利牵着走。</x:v>
      </x:c>
      <x:c r="K51" s="27" t="str">
        <x:v>金兜山误入、衣食诱因、妖洞显形</x:v>
      </x:c>
      <x:c r="L51" s="27" t="str">
        <x:v>待校核原文</x:v>
      </x:c>
      <x:c r="M51" s="27" t="str">
        <x:v>https://zh.wikisource.org/wiki/西游记/第五十回</x:v>
      </x:c>
      <x:c r="N51" s="27" t="str">
        <x:v>与第51—52回金刚琢连读。</x:v>
      </x:c>
    </x:row>
    <x:row r="52" ht="39.599998474121094" hidden="0" customHeight="1">
      <x:c r="A52" s="27" t="n">
        <x:v>51</x:v>
      </x:c>
      <x:c r="B52" s="27" t="str">
        <x:v>心猿空用千般计 水火无功难炼魔</x:v>
      </x:c>
      <x:c r="C52" s="27" t="str">
        <x:v>金兜洞法宝压制</x:v>
      </x:c>
      <x:c r="D52" s="27" t="str">
        <x:v>悟空多方求援，天兵天将、水火雷电等办法皆被金刚琢收摄，常规武力和技术手段失效。</x:v>
      </x:c>
      <x:c r="E52" s="27" t="str">
        <x:v>孙悟空、独角兕大王、天兵天将、火德星君、水德星君等</x:v>
      </x:c>
      <x:c r="F52" s="27" t="str">
        <x:v>金兜洞</x:v>
      </x:c>
      <x:c r="G52" s="27" t="str">
        <x:v>金刚琢、求援、武力失效、系统压制</x:v>
      </x:c>
      <x:c r="H52" s="27" t="str">
        <x:v>高阶工具能让常规能力全部失灵，问题从战斗转为溯源。</x:v>
      </x:c>
      <x:c r="I52" s="27" t="str">
        <x:v>复杂问题若被关键工具压制，不能只加大投入，要找资源归属与控制权。</x:v>
      </x:c>
      <x:c r="J52" s="27" t="str">
        <x:v>千般计无效时，要换问题定义。</x:v>
      </x:c>
      <x:c r="K52" s="27" t="str">
        <x:v>金刚琢收兵器、诸神救援失效、悟空再求线索</x:v>
      </x:c>
      <x:c r="L52" s="27" t="str">
        <x:v>待校核原文</x:v>
      </x:c>
      <x:c r="M52" s="27" t="str">
        <x:v>https://zh.wikisource.org/wiki/西游记/第五十一回</x:v>
      </x:c>
      <x:c r="N52" s="27" t="str">
        <x:v>适合写“工具权力压制一切武力”。</x:v>
      </x:c>
    </x:row>
    <x:row r="53" ht="39.599998474121094" hidden="0" customHeight="1">
      <x:c r="A53" s="27" t="n">
        <x:v>52</x:v>
      </x:c>
      <x:c r="B53" s="27" t="str">
        <x:v>悟空大闹金兜洞 如来暗示主人公</x:v>
      </x:c>
      <x:c r="C53" s="27" t="str">
        <x:v>金兜洞收束/老君资源外溢</x:v>
      </x:c>
      <x:c r="D53" s="27" t="str">
        <x:v>悟空求至灵山，如来暗示主人所在；太上老君收回青牛与金刚琢，金兜洞之难收束。</x:v>
      </x:c>
      <x:c r="E53" s="27" t="str">
        <x:v>孙悟空、如来、太上老君、独角兕大王/青牛、唐僧团队</x:v>
      </x:c>
      <x:c r="F53" s="27" t="str">
        <x:v>灵山、金兜洞</x:v>
      </x:c>
      <x:c r="G53" s="27" t="str">
        <x:v>如来暗示、老君收牛、金刚琢、后台揭示</x:v>
      </x:c>
      <x:c r="H53" s="27" t="str">
        <x:v>真正的解决方案来自识别资源所属系统，而非现场硬拼。</x:v>
      </x:c>
      <x:c r="I53" s="27" t="str">
        <x:v>后台系统要对下界风险负责；资源外溢需要被追溯和收回。</x:v>
      </x:c>
      <x:c r="J53" s="27" t="str">
        <x:v>不是所有问题都能现场解决，有时必须找到“主人”。</x:v>
      </x:c>
      <x:c r="K53" s="27" t="str">
        <x:v>如来暗示主人、老君下界、收回青牛与金刚琢</x:v>
      </x:c>
      <x:c r="L53" s="27" t="str">
        <x:v>待校核原文</x:v>
      </x:c>
      <x:c r="M53" s="27" t="str">
        <x:v>https://zh.wikisource.org/wiki/西游记/第五十二回</x:v>
      </x:c>
      <x:c r="N53" s="27" t="str">
        <x:v>与平顶山金角银角形成“老君系统二次外溢”对照。</x:v>
      </x:c>
    </x:row>
    <x:row r="54" ht="39.599998474121094" hidden="0" customHeight="1">
      <x:c r="A54" s="27" t="n">
        <x:v>53</x:v>
      </x:c>
      <x:c r="B54" s="27" t="str">
        <x:v>禅主吞餐怀鬼孕 黄婆运水解邪胎</x:v>
      </x:c>
      <x:c r="C54" s="27" t="str">
        <x:v>女儿国/欲望与身体困局</x:v>
      </x:c>
      <x:c r="D54" s="27" t="str">
        <x:v>唐僧、八戒误饮子母河水成孕，悟空求落胎泉解厄。</x:v>
      </x:c>
      <x:c r="E54" s="27" t="str">
        <x:v>唐僧、猪八戒、孙悟空、如意真仙</x:v>
      </x:c>
      <x:c r="F54" s="27" t="str">
        <x:v>子母河、解阳山、落胎泉</x:v>
      </x:c>
      <x:c r="G54" s="27" t="str">
        <x:v>鬼孕、落胎泉、身体困局、求解</x:v>
      </x:c>
      <x:c r="H54" s="27" t="str">
        <x:v>修行并非脱离身体，身体困局也是取经路上的真实考验。</x:v>
      </x:c>
      <x:c r="I54" s="27" t="str">
        <x:v>组织遇到非常规风险时，不能只靠常规经验，要快速识别、寻找专业资源。</x:v>
      </x:c>
      <x:c r="J54" s="27" t="str">
        <x:v>人最难的修行之一，是承认自己受身体、欲望与环境限制。</x:v>
      </x:c>
      <x:c r="K54" s="27" t="str">
        <x:v>误饮子母河、八戒怀胎、悟空求泉水</x:v>
      </x:c>
      <x:c r="L54" s="27" t="str">
        <x:v>待校核原文</x:v>
      </x:c>
      <x:c r="M54" s="27" t="str">
        <x:v>https://zh.wikisource.org/wiki/西游记/第五十三回</x:v>
      </x:c>
      <x:c r="N54" s="27" t="str">
        <x:v>女儿国段开端，适合纳入“身体与欲望”专题。</x:v>
      </x:c>
    </x:row>
    <x:row r="55" ht="26.399999618530273" hidden="0" customHeight="1">
      <x:c r="A55" s="27" t="n">
        <x:v>54</x:v>
      </x:c>
      <x:c r="B55" s="27" t="str">
        <x:v>法性西来逢女国 心猿定计脱烟花</x:v>
      </x:c>
      <x:c r="C55" s="27" t="str">
        <x:v>女儿国/情欲与名分测试</x:v>
      </x:c>
      <x:c r="D55" s="27" t="str">
        <x:v>女儿国王欲招唐僧为夫，悟空设计以倒换关文为先，争取脱身。</x:v>
      </x:c>
      <x:c r="E55" s="27" t="str">
        <x:v>唐僧、女儿国王、孙悟空、猪八戒、沙僧</x:v>
      </x:c>
      <x:c r="F55" s="27" t="str">
        <x:v>西梁女国</x:v>
      </x:c>
      <x:c r="G55" s="27" t="str">
        <x:v>女儿国、婚姻、名分、烟花、通关文牒</x:v>
      </x:c>
      <x:c r="H55" s="27" t="str">
        <x:v>情欲诱惑不是低级事件，而是使命、名分与人情的复杂拉扯。</x:v>
      </x:c>
      <x:c r="I55" s="27" t="str">
        <x:v>领导者面对高情感黏性的合作/诱惑场景，要稳住边界与目标。</x:v>
      </x:c>
      <x:c r="J55" s="27" t="str">
        <x:v>温柔乡不是恶，但会考验一个人是否还记得来路和去处。</x:v>
      </x:c>
      <x:c r="K55" s="27" t="str">
        <x:v>女王招赘、悟空定计、倒换关文</x:v>
      </x:c>
      <x:c r="L55" s="27" t="str">
        <x:v>待校核原文</x:v>
      </x:c>
      <x:c r="M55" s="27" t="str">
        <x:v>https://zh.wikisource.org/wiki/西游记/第五十四回</x:v>
      </x:c>
      <x:c r="N55" s="27" t="str">
        <x:v>不宜简单作“女色难”，应看到政治、礼法与情感层次。</x:v>
      </x:c>
    </x:row>
    <x:row r="56" ht="39.599998474121094" hidden="0" customHeight="1">
      <x:c r="A56" s="27" t="n">
        <x:v>55</x:v>
      </x:c>
      <x:c r="B56" s="27" t="str">
        <x:v>色邪淫戏唐三藏 性正修持不坏身</x:v>
      </x:c>
      <x:c r="C56" s="27" t="str">
        <x:v>蝎子精/色欲与攻击性结合</x:v>
      </x:c>
      <x:c r="D56" s="27" t="str">
        <x:v>蝎子精摄走唐僧，连悟空、八戒也难敌其毒钩，最终请昴日星官降伏。</x:v>
      </x:c>
      <x:c r="E56" s="27" t="str">
        <x:v>唐僧、蝎子精、孙悟空、猪八戒、昴日星官</x:v>
      </x:c>
      <x:c r="F56" s="27" t="str">
        <x:v>毒敌山琵琶洞</x:v>
      </x:c>
      <x:c r="G56" s="27" t="str">
        <x:v>蝎子精、倒马毒桩、色邪、昴日星官</x:v>
      </x:c>
      <x:c r="H56" s="27" t="str">
        <x:v>色欲在此不只是诱惑，更带有强攻击性与破坏力。</x:v>
      </x:c>
      <x:c r="I56" s="27" t="str">
        <x:v>专业风险需专业克制机制；强能力团队也有自身盲区。</x:v>
      </x:c>
      <x:c r="J56" s="27" t="str">
        <x:v>真正的定力不是没有诱惑，而是在危险贴近时仍不失本心。</x:v>
      </x:c>
      <x:c r="K56" s="27" t="str">
        <x:v>蝎子精摄僧、毒伤悟空、请昴日星官</x:v>
      </x:c>
      <x:c r="L56" s="27" t="str">
        <x:v>待校核原文</x:v>
      </x:c>
      <x:c r="M56" s="27" t="str">
        <x:v>https://zh.wikisource.org/wiki/西游记/第五十五回</x:v>
      </x:c>
      <x:c r="N56" s="27" t="str">
        <x:v>可与白骨精、女儿国王对比“女性形象与欲望类型”。</x:v>
      </x:c>
    </x:row>
    <x:row r="57" ht="39.599998474121094" hidden="0" customHeight="1">
      <x:c r="A57" s="27" t="n">
        <x:v>56</x:v>
      </x:c>
      <x:c r="B57" s="27" t="str">
        <x:v>神狂诛草寇 道昧放心猿</x:v>
      </x:c>
      <x:c r="C57" s="27" t="str">
        <x:v>草寇/暴力边界与团队裂缝</x:v>
      </x:c>
      <x:c r="D57" s="27" t="str">
        <x:v>悟空打杀草寇，引发唐僧再次不满，团队内部对惩恶尺度发生冲突。</x:v>
      </x:c>
      <x:c r="E57" s="27" t="str">
        <x:v>唐僧、孙悟空、猪八戒、草寇</x:v>
      </x:c>
      <x:c r="F57" s="27" t="str">
        <x:v>路途村野</x:v>
      </x:c>
      <x:c r="G57" s="27" t="str">
        <x:v>草寇、杀戒、放心猿、边界</x:v>
      </x:c>
      <x:c r="H57" s="27" t="str">
        <x:v>正义行动如果失去尺度，也会引发新的信任裂缝。</x:v>
      </x:c>
      <x:c r="I57" s="27" t="str">
        <x:v>关键人才的执行力必须受使命边界约束，否则容易从解决问题变成制造冲突。</x:v>
      </x:c>
      <x:c r="J57" s="27" t="str">
        <x:v>人心最怕“自以为正”，越有本事越要照见自己的过火。</x:v>
      </x:c>
      <x:c r="K57" s="27" t="str">
        <x:v>悟空诛草寇、唐僧责怪、放心猿伏笔</x:v>
      </x:c>
      <x:c r="L57" s="27" t="str">
        <x:v>待校核原文</x:v>
      </x:c>
      <x:c r="M57" s="27" t="str">
        <x:v>https://zh.wikisource.org/wiki/西游记/第五十六回</x:v>
      </x:c>
      <x:c r="N57" s="27" t="str">
        <x:v>为真假美猴王的“二心”爆发做铺垫。</x:v>
      </x:c>
    </x:row>
    <x:row r="58" ht="39.599998474121094" hidden="0" customHeight="1">
      <x:c r="A58" s="27" t="n">
        <x:v>57</x:v>
      </x:c>
      <x:c r="B58" s="27" t="str">
        <x:v>真行者落伽山诉苦 假猴王水帘洞誊文</x:v>
      </x:c>
      <x:c r="C58" s="27" t="str">
        <x:v>真假美猴王/身份复制危机</x:v>
      </x:c>
      <x:c r="D58" s="27" t="str">
        <x:v>悟空到落伽山诉苦，假猴王在水帘洞另立取经班底，真伪难辨。</x:v>
      </x:c>
      <x:c r="E58" s="27" t="str">
        <x:v>孙悟空、六耳猕猴、观音、唐僧、猪八戒、沙僧</x:v>
      </x:c>
      <x:c r="F58" s="27" t="str">
        <x:v>落伽山、水帘洞</x:v>
      </x:c>
      <x:c r="G58" s="27" t="str">
        <x:v>真假美猴王、复制、二心、取经班底</x:v>
      </x:c>
      <x:c r="H58" s="27" t="str">
        <x:v>真正的敌人不一定来自外部，也可能是自我阴影的同形复制。</x:v>
      </x:c>
      <x:c r="I58" s="27" t="str">
        <x:v>组织最难防的是“高度相似的替代者”：身份、能力、叙事都可被仿冒。</x:v>
      </x:c>
      <x:c r="J58" s="27" t="str">
        <x:v>当一个人被误解到极处，心中另一个自己就可能跳出来。</x:v>
      </x:c>
      <x:c r="K58" s="27" t="str">
        <x:v>真行者诉苦、假猴王誊文、真假难辨</x:v>
      </x:c>
      <x:c r="L58" s="27" t="str">
        <x:v>待校核原文</x:v>
      </x:c>
      <x:c r="M58" s="27" t="str">
        <x:v>https://zh.wikisource.org/wiki/西游记/第五十七回</x:v>
      </x:c>
      <x:c r="N58" s="27" t="str">
        <x:v>全书最重要的心性专题之一。</x:v>
      </x:c>
    </x:row>
    <x:row r="59" ht="39.599998474121094" hidden="0" customHeight="1">
      <x:c r="A59" s="27" t="n">
        <x:v>58</x:v>
      </x:c>
      <x:c r="B59" s="27" t="str">
        <x:v>二心搅乱大乾坤 一体难修真寂灭</x:v>
      </x:c>
      <x:c r="C59" s="27" t="str">
        <x:v>真假美猴王/二心归一</x:v>
      </x:c>
      <x:c r="D59" s="27" t="str">
        <x:v>真假猴王争辨至地府、天庭、观音处皆难定，最终由如来识破六耳猕猴。</x:v>
      </x:c>
      <x:c r="E59" s="27" t="str">
        <x:v>孙悟空、六耳猕猴、如来、观音、谛听、地藏王</x:v>
      </x:c>
      <x:c r="F59" s="27" t="str">
        <x:v>灵山、地府、落伽山</x:v>
      </x:c>
      <x:c r="G59" s="27" t="str">
        <x:v>二心、六耳、真伪、一体难修</x:v>
      </x:c>
      <x:c r="H59" s="27" t="str">
        <x:v>真假之争的根源是“二心”；修行不是消灭外敌，而是归一其心。</x:v>
      </x:c>
      <x:c r="I59" s="27" t="str">
        <x:v>重大身份争议需要最高权威与多方证据校验，不能靠表象判断。</x:v>
      </x:c>
      <x:c r="J59" s="27" t="str">
        <x:v>人最难战胜的不是妖怪，而是那个和自己几乎一模一样的自己。</x:v>
      </x:c>
      <x:c r="K59" s="27" t="str">
        <x:v>谛听辨识、如来揭示六耳、悟空打死假猴</x:v>
      </x:c>
      <x:c r="L59" s="27" t="str">
        <x:v>待校核原文</x:v>
      </x:c>
      <x:c r="M59" s="27" t="str">
        <x:v>https://zh.wikisource.org/wiki/西游记/第五十八回</x:v>
      </x:c>
      <x:c r="N59" s="27" t="str">
        <x:v>可作为“心猿研究”核心章节。</x:v>
      </x:c>
    </x:row>
    <x:row r="60" ht="39.599998474121094" hidden="0" customHeight="1">
      <x:c r="A60" s="27" t="n">
        <x:v>59</x:v>
      </x:c>
      <x:c r="B60" s="27" t="str">
        <x:v>唐三藏路阻火焰山 孙行者一调芭蕉扇</x:v>
      </x:c>
      <x:c r="C60" s="27" t="str">
        <x:v>火焰山/三调起点</x:v>
      </x:c>
      <x:c r="D60" s="27" t="str">
        <x:v>取经队伍至火焰山受阻，得知须借铁扇公主芭蕉扇；悟空初借扇不成，并遇假扇/反制。</x:v>
      </x:c>
      <x:c r="E60" s="27" t="str">
        <x:v>唐僧、孙悟空、铁扇公主、火焰山土地</x:v>
      </x:c>
      <x:c r="F60" s="27" t="str">
        <x:v>火焰山、翠云山、芭蕉洞</x:v>
      </x:c>
      <x:c r="G60" s="27" t="str">
        <x:v>火焰山、芭蕉扇、铁扇公主、一调</x:v>
      </x:c>
      <x:c r="H60" s="27" t="str">
        <x:v>外部环境风险与关键资源受制；旧怨与新事纠缠。</x:v>
      </x:c>
      <x:c r="I60" s="27" t="str">
        <x:v>项目遇到不可绕开的瓶颈时，关键资源往往掌握在利益相关方手中；历史关系会影响当下协同。</x:v>
      </x:c>
      <x:c r="J60" s="27" t="str">
        <x:v>真正难过的山，不一定是妖怪，而是资源、关系和旧账。</x:v>
      </x:c>
      <x:c r="K60" s="27" t="str">
        <x:v>火焰山受阻、土地说明来历、初借芭蕉扇、铁扇拒借</x:v>
      </x:c>
      <x:c r="L60" s="27" t="str">
        <x:v>待校核原文</x:v>
      </x:c>
      <x:c r="M60" s="27" t="str">
        <x:v>https://zh.wikisource.org/wiki/西游记/第五十九回</x:v>
      </x:c>
      <x:c r="N60" s="27" t="str">
        <x:v>与红孩儿段形成因果链。</x:v>
      </x:c>
    </x:row>
    <x:row r="61" ht="52.79999923706055" hidden="0" customHeight="1">
      <x:c r="A61" s="27" t="n">
        <x:v>60</x:v>
      </x:c>
      <x:c r="B61" s="27" t="str">
        <x:v>牛魔王罢战赴华筵 孙行者二调芭蕉扇</x:v>
      </x:c>
      <x:c r="C61" s="27" t="str">
        <x:v>火焰山/关系博弈</x:v>
      </x:c>
      <x:c r="D61" s="27" t="str">
        <x:v>悟空化形、骗取线索并再调芭蕉扇；牛魔王、玉面狐狸等关系网络浮出，家族与情欲结构进入取经风险。</x:v>
      </x:c>
      <x:c r="E61" s="27" t="str">
        <x:v>孙悟空、牛魔王、铁扇公主、玉面狐狸、猪八戒</x:v>
      </x:c>
      <x:c r="F61" s="27" t="str">
        <x:v>积雷山、摩云洞、芭蕉洞</x:v>
      </x:c>
      <x:c r="G61" s="27" t="str">
        <x:v>牛魔王、玉面狐狸、二调、关系网络</x:v>
      </x:c>
      <x:c r="H61" s="27" t="str">
        <x:v>牛魔王家族不是单点妖怪，而是亲属、旧交、情欲、资源交织的关系系统。</x:v>
      </x:c>
      <x:c r="I61" s="27" t="str">
        <x:v>复杂风险不是打掉一个点，而是要识别关系网、利益网和资源控制点。</x:v>
      </x:c>
      <x:c r="J61" s="27" t="str">
        <x:v>资源争夺背后常有家庭、情面、旧交和利益。</x:v>
      </x:c>
      <x:c r="K61" s="27" t="str">
        <x:v>牛魔王赴宴、玉面狐狸、悟空变化、二调芭蕉扇</x:v>
      </x:c>
      <x:c r="L61" s="27" t="str">
        <x:v>待校核原文</x:v>
      </x:c>
      <x:c r="M61" s="27" t="str">
        <x:v>https://zh.wikisource.org/wiki/西游记/第六十回</x:v>
      </x:c>
      <x:c r="N61" s="27" t="str">
        <x:v>适合与后台妖怪表、人物关系表联动。</x:v>
      </x:c>
    </x:row>
    <x:row r="62" ht="39.599998474121094" hidden="0" customHeight="1">
      <x:c r="A62" s="27" t="n">
        <x:v>61</x:v>
      </x:c>
      <x:c r="B62" s="27" t="str">
        <x:v>猪八戒助力败魔王 孙行者三调芭蕉扇</x:v>
      </x:c>
      <x:c r="C62" s="27" t="str">
        <x:v>火焰山/协同破局</x:v>
      </x:c>
      <x:c r="D62" s="27" t="str">
        <x:v>悟空、八戒及天神协同降伏牛魔王，最终取得真芭蕉扇，扇灭火焰山，取经队伍继续西行。</x:v>
      </x:c>
      <x:c r="E62" s="27" t="str">
        <x:v>孙悟空、猪八戒、牛魔王、铁扇公主、哪吒、托塔天王</x:v>
      </x:c>
      <x:c r="F62" s="27" t="str">
        <x:v>火焰山、翠云山、积雷山</x:v>
      </x:c>
      <x:c r="G62" s="27" t="str">
        <x:v>三调、协同、真扇、破局</x:v>
      </x:c>
      <x:c r="H62" s="27" t="str">
        <x:v>关键瓶颈最终靠多方协同、资源归位与关系收束解决。</x:v>
      </x:c>
      <x:c r="I62" s="27" t="str">
        <x:v>高手不是永远单打独斗；复杂问题需要识别关键人、关键物、关键后台与联合处置。</x:v>
      </x:c>
      <x:c r="J62" s="27" t="str">
        <x:v>过火焰山，不只靠本领，更靠耐心、协同和资源调度。</x:v>
      </x:c>
      <x:c r="K62" s="27" t="str">
        <x:v>八戒助战、哪吒等天神协同、降伏牛魔王、三调真扇、火焰山熄灭</x:v>
      </x:c>
      <x:c r="L62" s="27" t="str">
        <x:v>待校核原文</x:v>
      </x:c>
      <x:c r="M62" s="27" t="str">
        <x:v>https://zh.wikisource.org/wiki/西游记/第六十一回</x:v>
      </x:c>
      <x:c r="N62" s="27" t="str">
        <x:v>可作为V1.0专题主轴。</x:v>
      </x:c>
    </x:row>
    <x:row r="63" ht="39.599998474121094" hidden="0" customHeight="1">
      <x:c r="A63" s="27" t="n">
        <x:v>62</x:v>
      </x:c>
      <x:c r="B63" s="27" t="str">
        <x:v>涤垢洗心惟扫塔 缚魔归正乃修身</x:v>
      </x:c>
      <x:c r="C63" s="27" t="str">
        <x:v>祭赛国/宝塔失宝段</x:v>
      </x:c>
      <x:c r="D63" s="27" t="str">
        <x:v>师徒入祭赛国，见金光寺僧受冤，夜扫宝塔，发现宝塔失宝线索。</x:v>
      </x:c>
      <x:c r="E63" s="27" t="str">
        <x:v>唐僧、孙悟空、猪八戒、金光寺僧、祭赛国王</x:v>
      </x:c>
      <x:c r="F63" s="27" t="str">
        <x:v>祭赛国、金光寺、宝塔</x:v>
      </x:c>
      <x:c r="G63" s="27" t="str">
        <x:v>失宝、冤案、扫塔、证据</x:v>
      </x:c>
      <x:c r="H63" s="27" t="str">
        <x:v>洗心涤垢；修行从清理污垢、澄清事实开始。</x:v>
      </x:c>
      <x:c r="I63" s="27" t="str">
        <x:v>地方治理中的冤案往往源于证据断裂；现场清理和夜间核验可重新打开问题链。</x:v>
      </x:c>
      <x:c r="J63" s="27" t="str">
        <x:v>真正的修身不是空谈清净，而是愿意进入污垢、查明真相。</x:v>
      </x:c>
      <x:c r="K63" s="27" t="str">
        <x:v>金光寺僧受冤、悟空夜扫塔、宝塔失宝线索</x:v>
      </x:c>
      <x:c r="L63" s="27" t="str">
        <x:v>待校核原文</x:v>
      </x:c>
      <x:c r="M63" s="27" t="str">
        <x:v>https://zh.wikisource.org/wiki/西游记/第六十二回</x:v>
      </x:c>
      <x:c r="N63" s="27" t="str">
        <x:v>祭赛国段开端，适合做“冤案证据链”专题。</x:v>
      </x:c>
    </x:row>
    <x:row r="64" ht="39.599998474121094" hidden="0" customHeight="1">
      <x:c r="A64" s="27" t="n">
        <x:v>63</x:v>
      </x:c>
      <x:c r="B64" s="27" t="str">
        <x:v>二僧荡怪闹龙宫 群圣除邪获宝贝</x:v>
      </x:c>
      <x:c r="C64" s="27" t="str">
        <x:v>祭赛国/九头虫段</x:v>
      </x:c>
      <x:c r="D64" s="27" t="str">
        <x:v>悟空、八戒追查宝物，牵出碧波潭万圣龙王、九头虫及万圣公主，群圣协力夺回佛宝。</x:v>
      </x:c>
      <x:c r="E64" s="27" t="str">
        <x:v>孙悟空、猪八戒、九头虫、万圣龙王、万圣公主、二郎神、梅山兄弟</x:v>
      </x:c>
      <x:c r="F64" s="27" t="str">
        <x:v>碧波潭、祭赛国</x:v>
      </x:c>
      <x:c r="G64" s="27" t="str">
        <x:v>盗宝、联盟妖怪、龙宫、协同除邪</x:v>
      </x:c>
      <x:c r="H64" s="27" t="str">
        <x:v>宝物失而复得，正邪之辨需要证据、追踪和协同力量。</x:v>
      </x:c>
      <x:c r="I64" s="27" t="str">
        <x:v>跨系统风险：地方龙族、妖怪联盟、王国治理与天庭助力交织。</x:v>
      </x:c>
      <x:c r="J64" s="27" t="str">
        <x:v>被污染的不是宝塔本身，而是围绕宝物形成的贪欲和谎言。</x:v>
      </x:c>
      <x:c r="K64" s="27" t="str">
        <x:v>碧波潭盗宝、九头虫、二郎神助战、夺回佛宝</x:v>
      </x:c>
      <x:c r="L64" s="27" t="str">
        <x:v>待校核原文</x:v>
      </x:c>
      <x:c r="M64" s="27" t="str">
        <x:v>https://zh.wikisource.org/wiki/西游记/第六十三回</x:v>
      </x:c>
      <x:c r="N64" s="27" t="str">
        <x:v>与第62回合并为“失宝冤案”专题。</x:v>
      </x:c>
    </x:row>
    <x:row r="65" ht="39.599998474121094" hidden="0" customHeight="1">
      <x:c r="A65" s="27" t="n">
        <x:v>64</x:v>
      </x:c>
      <x:c r="B65" s="27" t="str">
        <x:v>荆棘岭悟能努力 木仙庵三藏谈诗</x:v>
      </x:c>
      <x:c r="C65" s="27" t="str">
        <x:v>荆棘岭/诗文诱惑段</x:v>
      </x:c>
      <x:c r="D65" s="27" t="str">
        <x:v>唐僧被木仙庵树精藤怪留住谈诗，八戒努力开路破除荆棘。</x:v>
      </x:c>
      <x:c r="E65" s="27" t="str">
        <x:v>唐僧、猪八戒、孤直公、凌空子、拂云叟、杏仙</x:v>
      </x:c>
      <x:c r="F65" s="27" t="str">
        <x:v>荆棘岭、木仙庵</x:v>
      </x:c>
      <x:c r="G65" s="27" t="str">
        <x:v>诗文、雅趣、拖延、荆棘</x:v>
      </x:c>
      <x:c r="H65" s="27" t="str">
        <x:v>文雅也可能成为滞留与迷障；修行不只防粗俗诱惑，也防清雅牵缠。</x:v>
      </x:c>
      <x:c r="I65" s="27" t="str">
        <x:v>组织推进中，柔性拖延和文化包装同样会消耗进度；八戒的粗朴行动反而破局。</x:v>
      </x:c>
      <x:c r="J65" s="27" t="str">
        <x:v>有些‘雅’不是提升，而是让人忘记正路。</x:v>
      </x:c>
      <x:c r="K65" s="27" t="str">
        <x:v>木仙庵谈诗、杏仙诱留、八戒开路</x:v>
      </x:c>
      <x:c r="L65" s="27" t="str">
        <x:v>待校核原文</x:v>
      </x:c>
      <x:c r="M65" s="27" t="str">
        <x:v>https://zh.wikisource.org/wiki/西游记/第六十四回</x:v>
      </x:c>
      <x:c r="N65" s="27" t="str">
        <x:v>非常适合写语言趣味与修行警醒。</x:v>
      </x:c>
    </x:row>
    <x:row r="66" ht="39.599998474121094" hidden="0" customHeight="1">
      <x:c r="A66" s="27" t="n">
        <x:v>65</x:v>
      </x:c>
      <x:c r="B66" s="27" t="str">
        <x:v>妖邪假设小雷音 四众皆遭大厄难</x:v>
      </x:c>
      <x:c r="C66" s="27" t="str">
        <x:v>小雷音寺/假权威段</x:v>
      </x:c>
      <x:c r="D66" s="27" t="str">
        <x:v>黄眉老怪假设小雷音寺，唐僧师徒误入，被金铙等法宝困住，四众遭大厄。</x:v>
      </x:c>
      <x:c r="E66" s="27" t="str">
        <x:v>唐僧、孙悟空、黄眉老怪、猪八戒、沙僧</x:v>
      </x:c>
      <x:c r="F66" s="27" t="str">
        <x:v>小雷音寺</x:v>
      </x:c>
      <x:c r="G66" s="27" t="str">
        <x:v>假雷音、假权威、金铙、误入</x:v>
      </x:c>
      <x:c r="H66" s="27" t="str">
        <x:v>越接近目标，越要警惕貌似神圣的伪权威。</x:v>
      </x:c>
      <x:c r="I66" s="27" t="str">
        <x:v>仿冒组织与假标识极具欺骗性；越是权威场景，越要做身份核验。</x:v>
      </x:c>
      <x:c r="J66" s="27" t="str">
        <x:v>最危险的不是妖怪面目狰狞，而是它披着你最相信的外衣。</x:v>
      </x:c>
      <x:c r="K66" s="27" t="str">
        <x:v>假雷音寺、金铙困悟空、四众受困</x:v>
      </x:c>
      <x:c r="L66" s="27" t="str">
        <x:v>待校核原文</x:v>
      </x:c>
      <x:c r="M66" s="27" t="str">
        <x:v>https://zh.wikisource.org/wiki/西游记/第六十五回</x:v>
      </x:c>
      <x:c r="N66" s="27" t="str">
        <x:v>与真假美猴王、假观音可组成“伪权威”专题。</x:v>
      </x:c>
    </x:row>
    <x:row r="67" ht="39.599998474121094" hidden="0" customHeight="1">
      <x:c r="A67" s="27" t="n">
        <x:v>66</x:v>
      </x:c>
      <x:c r="B67" s="27" t="str">
        <x:v>诸神遭毒手 弥勒缚妖魔</x:v>
      </x:c>
      <x:c r="C67" s="27" t="str">
        <x:v>小雷音寺/弥勒收妖段</x:v>
      </x:c>
      <x:c r="D67" s="27" t="str">
        <x:v>悟空多方求援，诸神受困，后经弥勒指点，以人种袋系统收伏黄眉。</x:v>
      </x:c>
      <x:c r="E67" s="27" t="str">
        <x:v>孙悟空、黄眉老怪、弥勒佛、诸天神将</x:v>
      </x:c>
      <x:c r="F67" s="27" t="str">
        <x:v>小雷音寺、弥勒系统</x:v>
      </x:c>
      <x:c r="G67" s="27" t="str">
        <x:v>人种袋、救援失效、弥勒、收伏</x:v>
      </x:c>
      <x:c r="H67" s="27" t="str">
        <x:v>假权威背后仍有真实来源，根治必须找到源头系统。</x:v>
      </x:c>
      <x:c r="I67" s="27" t="str">
        <x:v>单纯加大救援力量不一定有效；关键是识别问题工具和责任系统。</x:v>
      </x:c>
      <x:c r="J67" s="27" t="str">
        <x:v>破局有时不是更用力，而是找到谁真正拥有规则解释权。</x:v>
      </x:c>
      <x:c r="K67" s="27" t="str">
        <x:v>诸神被困、悟空求援、弥勒出现、人种袋收妖</x:v>
      </x:c>
      <x:c r="L67" s="27" t="str">
        <x:v>待校核原文</x:v>
      </x:c>
      <x:c r="M67" s="27" t="str">
        <x:v>https://zh.wikisource.org/wiki/西游记/第六十六回</x:v>
      </x:c>
      <x:c r="N67" s="27" t="str">
        <x:v>适合与金兜洞对比：法宝压制武力。</x:v>
      </x:c>
    </x:row>
    <x:row r="68" ht="39.599998474121094" hidden="0" customHeight="1">
      <x:c r="A68" s="27" t="n">
        <x:v>67</x:v>
      </x:c>
      <x:c r="B68" s="27" t="str">
        <x:v>拯救驼罗禅性稳 脱离秽污道心清</x:v>
      </x:c>
      <x:c r="C68" s="27" t="str">
        <x:v>驼罗庄/秽污清理段</x:v>
      </x:c>
      <x:c r="D68" s="27" t="str">
        <x:v>师徒至驼罗庄，降伏蟒蛇精，清除污秽，恢复道路与人心清净。</x:v>
      </x:c>
      <x:c r="E68" s="27" t="str">
        <x:v>唐僧、孙悟空、猪八戒、沙僧、蟒蛇精、驼罗庄众人</x:v>
      </x:c>
      <x:c r="F68" s="27" t="str">
        <x:v>驼罗庄、七绝山/稀柿衕</x:v>
      </x:c>
      <x:c r="G68" s="27" t="str">
        <x:v>秽污、蟒蛇、清障、道心</x:v>
      </x:c>
      <x:c r="H68" s="27" t="str">
        <x:v>外部污秽与内在道心互为映照，清障也是修行。</x:v>
      </x:c>
      <x:c r="I68" s="27" t="str">
        <x:v>基层治理不能只看宏大妖魔，也要处理长期堆积的环境问题和民生困扰。</x:v>
      </x:c>
      <x:c r="J68" s="27" t="str">
        <x:v>道心清净，不是远离污秽，而是有能力把污秽清掉。</x:v>
      </x:c>
      <x:c r="K68" s="27" t="str">
        <x:v>驼罗庄求救、蟒蛇精、清除污秽、道路复通</x:v>
      </x:c>
      <x:c r="L68" s="27" t="str">
        <x:v>待校核原文</x:v>
      </x:c>
      <x:c r="M68" s="27" t="str">
        <x:v>https://zh.wikisource.org/wiki/西游记/第六十七回</x:v>
      </x:c>
      <x:c r="N68" s="27" t="str">
        <x:v>可与第62回“涤垢洗心”呼应。</x:v>
      </x:c>
    </x:row>
    <x:row r="69" ht="39.599998474121094" hidden="0" customHeight="1">
      <x:c r="A69" s="27" t="n">
        <x:v>68</x:v>
      </x:c>
      <x:c r="B69" s="27" t="str">
        <x:v>朱紫国唐僧论前世 孙行者施为三折肱</x:v>
      </x:c>
      <x:c r="C69" s="27" t="str">
        <x:v>朱紫国/医治救国段</x:v>
      </x:c>
      <x:c r="D69" s="27" t="str">
        <x:v>取经团队入朱紫国，国王久病，悟空以医者身份切入国政病灶，悬丝诊脉、辨症开方。</x:v>
      </x:c>
      <x:c r="E69" s="27" t="str">
        <x:v>唐僧、孙悟空、朱紫国王</x:v>
      </x:c>
      <x:c r="F69" s="27" t="str">
        <x:v>朱紫国</x:v>
      </x:c>
      <x:c r="G69" s="27" t="str">
        <x:v>国王病症、悬丝诊脉、医治救国</x:v>
      </x:c>
      <x:c r="H69" s="27" t="str">
        <x:v>身体病症与国家失序互为表里；医治国王也是恢复秩序。</x:v>
      </x:c>
      <x:c r="I69" s="27" t="str">
        <x:v>治理观察：问题表面是疾病，背后是王权失衡、后宫被掳、妖魔压迫。</x:v>
      </x:c>
      <x:c r="J69" s="27" t="str">
        <x:v>真正的治病不只开药，还要找到病根与外部胁迫。</x:v>
      </x:c>
      <x:c r="K69" s="27" t="str">
        <x:v>国王求医、悟空诊脉、丸药与病因追索</x:v>
      </x:c>
      <x:c r="L69" s="27" t="str">
        <x:v>待校核原文</x:v>
      </x:c>
      <x:c r="M69" s="27" t="str">
        <x:v>https://zh.wikisource.org/wiki/西游记/第六十八回</x:v>
      </x:c>
      <x:c r="N69" s="27" t="str">
        <x:v>V1.2新增：朱紫国段起点。</x:v>
      </x:c>
    </x:row>
    <x:row r="70" ht="39.599998474121094" hidden="0" customHeight="1">
      <x:c r="A70" s="27" t="n">
        <x:v>69</x:v>
      </x:c>
      <x:c r="B70" s="27" t="str">
        <x:v>心主夜间修药物 君王筵上论妖邪</x:v>
      </x:c>
      <x:c r="C70" s="27" t="str">
        <x:v>朱紫国/病因揭示</x:v>
      </x:c>
      <x:c r="D70" s="27" t="str">
        <x:v>悟空为国王修药，宴席上逐步追问妖邪根源，金圣宫娘娘被赛太岁掳走的旧事浮出。</x:v>
      </x:c>
      <x:c r="E70" s="27" t="str">
        <x:v>孙悟空、朱紫国王、金圣宫娘娘、赛太岁</x:v>
      </x:c>
      <x:c r="F70" s="27" t="str">
        <x:v>朱紫国宫廷</x:v>
      </x:c>
      <x:c r="G70" s="27" t="str">
        <x:v>病因、药物、旧案、妖邪</x:v>
      </x:c>
      <x:c r="H70" s="27" t="str">
        <x:v>病由心起、祸由妖生；身体病症背后有情感创伤与政治失序。</x:v>
      </x:c>
      <x:c r="I70" s="27" t="str">
        <x:v>治理观察：事实调查要从症状追到历史事件，不能只处理表面指标。</x:v>
      </x:c>
      <x:c r="J70" s="27" t="str">
        <x:v>很多“病”不是当下才有，而是旧伤未解。</x:v>
      </x:c>
      <x:c r="K70" s="27" t="str">
        <x:v>悟空配药、国王陈述旧事、妖邪线索浮出</x:v>
      </x:c>
      <x:c r="L70" s="27" t="str">
        <x:v>待校核原文</x:v>
      </x:c>
      <x:c r="M70" s="27" t="str">
        <x:v>https://zh.wikisource.org/wiki/西游记/第六十九回</x:v>
      </x:c>
      <x:c r="N70" s="27" t="str">
        <x:v>适合接“医治与救国”专题。</x:v>
      </x:c>
    </x:row>
    <x:row r="71" ht="39.599998474121094" hidden="0" customHeight="1">
      <x:c r="A71" s="27" t="n">
        <x:v>70</x:v>
      </x:c>
      <x:c r="B71" s="27" t="str">
        <x:v>妖魔宝放烟沙火 悟空计盗紫金铃</x:v>
      </x:c>
      <x:c r="C71" s="27" t="str">
        <x:v>朱紫国/关键资源夺取</x:v>
      </x:c>
      <x:c r="D71" s="27" t="str">
        <x:v>悟空探赛太岁洞府，识别紫金铃威力，以计盗铃，削弱妖怪核心资源。</x:v>
      </x:c>
      <x:c r="E71" s="27" t="str">
        <x:v>孙悟空、赛太岁、金圣宫娘娘、有来有去</x:v>
      </x:c>
      <x:c r="F71" s="27" t="str">
        <x:v>麒麟山獬豸洞</x:v>
      </x:c>
      <x:c r="G71" s="27" t="str">
        <x:v>紫金铃、烟沙火、盗宝、反制</x:v>
      </x:c>
      <x:c r="H71" s="27" t="str">
        <x:v>关键资源决定风险强度；破局先破对方能力系统。</x:v>
      </x:c>
      <x:c r="I71" s="27" t="str">
        <x:v>治理观察：面对强工具风险，直接硬拼不如识别规则、切断资源。</x:v>
      </x:c>
      <x:c r="J71" s="27" t="str">
        <x:v>真正的胜负不只在勇力，而在能否拿到关键控制点。</x:v>
      </x:c>
      <x:c r="K71" s="27" t="str">
        <x:v>紫金铃威力、悟空变化入洞、计盗铃铛</x:v>
      </x:c>
      <x:c r="L71" s="27" t="str">
        <x:v>待校核原文</x:v>
      </x:c>
      <x:c r="M71" s="27" t="str">
        <x:v>https://zh.wikisource.org/wiki/西游记/第七十回</x:v>
      </x:c>
      <x:c r="N71" s="27" t="str">
        <x:v>法宝表需同步记录紫金铃。</x:v>
      </x:c>
    </x:row>
    <x:row r="72" ht="39.599998474121094" hidden="0" customHeight="1">
      <x:c r="A72" s="27" t="n">
        <x:v>71</x:v>
      </x:c>
      <x:c r="B72" s="27" t="str">
        <x:v>行者假名降怪犼 观音现象伏妖王</x:v>
      </x:c>
      <x:c r="C72" s="27" t="str">
        <x:v>朱紫国/后台收束</x:v>
      </x:c>
      <x:c r="D72" s="27" t="str">
        <x:v>悟空假名诱敌并降伏赛太岁，观音现身收回金毛犼，金圣宫归国，朱紫国秩序恢复。</x:v>
      </x:c>
      <x:c r="E72" s="27" t="str">
        <x:v>孙悟空、赛太岁/金毛犼、观音、金圣宫娘娘、朱紫国王</x:v>
      </x:c>
      <x:c r="F72" s="27" t="str">
        <x:v>麒麟山、朱紫国</x:v>
      </x:c>
      <x:c r="G72" s="27" t="str">
        <x:v>假名、降犼、观音坐骑、合法性恢复</x:v>
      </x:c>
      <x:c r="H72" s="27" t="str">
        <x:v>妖魔被收束，王权与家庭秩序复原；后台系统承担最终收口。</x:v>
      </x:c>
      <x:c r="I72" s="27" t="str">
        <x:v>治理观察：后台坐骑失控，需要原系统认领、收回并修复外部损害。</x:v>
      </x:c>
      <x:c r="J72" s="27" t="str">
        <x:v>降妖的终点不是打赢，而是让失序关系回到正轨。</x:v>
      </x:c>
      <x:c r="K72" s="27" t="str">
        <x:v>悟空假名降怪、观音现身、金圣宫回归</x:v>
      </x:c>
      <x:c r="L72" s="27" t="str">
        <x:v>待校核原文</x:v>
      </x:c>
      <x:c r="M72" s="27" t="str">
        <x:v>https://zh.wikisource.org/wiki/西游记/第七十一回</x:v>
      </x:c>
      <x:c r="N72" s="27" t="str">
        <x:v>V1.2完成朱紫国—金毛犼段。</x:v>
      </x:c>
    </x:row>
    <x:row r="73">
      <x:c r="A73" s="27" t="n">
        <x:v>72</x:v>
      </x:c>
      <x:c r="B73" s="27" t="str">
        <x:v>盘丝洞七情迷本 濯垢泉八戒忘形</x:v>
      </x:c>
      <x:c r="C73" s="27" t="str">
        <x:v>欲望与身体/女性妖怪群像</x:v>
      </x:c>
      <x:c r="D73" s="27" t="str">
        <x:v>唐僧误入盘丝洞，被七个蜘蛛精缠住；八戒在濯垢泉见色忘形，反被蛛丝困住；悟空探得妖情，团队陷入色欲与身体困局。</x:v>
      </x:c>
      <x:c r="E73" s="27" t="str">
        <x:v>唐僧、孙悟空、猪八戒、七个蜘蛛精、土地</x:v>
      </x:c>
      <x:c r="F73" s="27" t="str">
        <x:v>盘丝洞、濯垢泉</x:v>
      </x:c>
      <x:c r="G73" s="27" t="str">
        <x:v>七情迷本、濯垢泉、蛛丝、忘形、色欲</x:v>
      </x:c>
      <x:c r="H73" s="27" t="str">
        <x:v>欲望不只来自外部诱惑，也会通过身体、情境和自我放松进入修行体系。</x:v>
      </x:c>
      <x:c r="I73" s="27" t="str">
        <x:v>团队进入成熟期后，风险不再只是强敌，也包括成员自控失效、环境诱导和信息误判。</x:v>
      </x:c>
      <x:c r="J73" s="27" t="str">
        <x:v>修行不是脱离身体，而是在身体处境中保持清明。</x:v>
      </x:c>
      <x:c r="K73" s="27" t="str">
        <x:v>盘丝洞设局、八戒忘形、蛛丝困身、悟空探洞</x:v>
      </x:c>
      <x:c r="L73" s="27" t="str">
        <x:v>待校核原文</x:v>
      </x:c>
      <x:c r="M73" s="27" t="str">
        <x:v>https://zh.wikisource.org/wiki/西游记/第72回</x:v>
      </x:c>
      <x:c r="N73" s="27" t="str">
        <x:v>可接续女儿国、蝎子精专题，形成“女性妖怪/身体风险”小专题。</x:v>
      </x:c>
    </x:row>
    <x:row r="74">
      <x:c r="A74" s="27" t="n">
        <x:v>73</x:v>
      </x:c>
      <x:c r="B74" s="27" t="str">
        <x:v>情因旧恨生灾毒 心主遭魔幸破光</x:v>
      </x:c>
      <x:c r="C74" s="27" t="str">
        <x:v>旧怨与外部救援/盘丝洞后续</x:v>
      </x:c>
      <x:c r="D74" s="27" t="str">
        <x:v>蜘蛛精引出蜈蚣精/多目怪；其金光毒眼使悟空受制，后得毗蓝婆菩萨相助，以绣花针破其妖法。</x:v>
      </x:c>
      <x:c r="E74" s="27" t="str">
        <x:v>孙悟空、唐僧、八戒、沙僧、蜘蛛精、蜈蚣精/多目怪、毗蓝婆菩萨</x:v>
      </x:c>
      <x:c r="F74" s="27" t="str">
        <x:v>黄花观、千花洞/紫云山相关场景</x:v>
      </x:c>
      <x:c r="G74" s="27" t="str">
        <x:v>旧恨、毒眼金光、黄花观、毗蓝婆、绣花针</x:v>
      </x:c>
      <x:c r="H74" s="27" t="str">
        <x:v>情欲之难延伸为旧怨之毒；心主遭魔，须借外部智慧破除障眼法。</x:v>
      </x:c>
      <x:c r="I74" s="27" t="str">
        <x:v>当核心能力遇到专门克制时，必须识别专业外援，而不是在同一能力体系内硬拼。</x:v>
      </x:c>
      <x:c r="J74" s="27" t="str">
        <x:v>有些困境不是意志薄弱，而是认知被“光”所蔽，需要换一套工具与视角。</x:v>
      </x:c>
      <x:c r="K74" s="27" t="str">
        <x:v>多目怪施金光、悟空求援、毗蓝婆破法</x:v>
      </x:c>
      <x:c r="L74" s="27" t="str">
        <x:v>待校核原文</x:v>
      </x:c>
      <x:c r="M74" s="27" t="str">
        <x:v>https://zh.wikisource.org/wiki/西游记/第73回</x:v>
      </x:c>
      <x:c r="N74" s="27" t="str">
        <x:v>可作为“悟空也有盲区/外部专家救援”专题样本。</x:v>
      </x:c>
    </x:row>
    <x:row r="75">
      <x:c r="A75" s="27" t="n">
        <x:v>74</x:v>
      </x:c>
      <x:c r="B75" s="27" t="str">
        <x:v>长庚传报魔头狠 行者施为变化能</x:v>
      </x:c>
      <x:c r="C75" s="27" t="str">
        <x:v>狮驼岭/极端风险预警</x:v>
      </x:c>
      <x:c r="D75" s="27" t="str">
        <x:v>太白金星报信，提示狮驼岭三魔凶狠；悟空先行侦察，以变化深入妖洞，发现妖怪集团组织严密、风险远超一般山妖。</x:v>
      </x:c>
      <x:c r="E75" s="27" t="str">
        <x:v>孙悟空、唐僧、猪八戒、沙僧、太白金星、青狮、白象、大鹏</x:v>
      </x:c>
      <x:c r="F75" s="27" t="str">
        <x:v>狮驼岭、狮驼洞</x:v>
      </x:c>
      <x:c r="G75" s="27" t="str">
        <x:v>长庚传报、魔头狠、侦察、变化、组织化妖怪</x:v>
      </x:c>
      <x:c r="H75" s="27" t="str">
        <x:v>进入全书后段的高压风险区：妖怪不再只是单点作恶，而是组织化、集团化、制度化地占据一方。</x:v>
      </x:c>
      <x:c r="I75" s="27" t="str">
        <x:v>治理观察：重大风险处置前必须先有预警、侦察和情报判断，不能凭经验硬闯。</x:v>
      </x:c>
      <x:c r="J75" s="27" t="str">
        <x:v>越接近目标，越要敬畏风险；真正危险的不是一个强敌，而是一套成型的恶性系统。</x:v>
      </x:c>
      <x:c r="K75" s="27" t="str">
        <x:v>太白金星传报、悟空变化入洞、妖怪集团布置</x:v>
      </x:c>
      <x:c r="L75" s="27" t="str">
        <x:v>待校核原文</x:v>
      </x:c>
      <x:c r="M75" s="27" t="str">
        <x:v>https://zh.wikisource.org/wiki/西游记/第七十四回</x:v>
      </x:c>
      <x:c r="N75" s="27" t="str">
        <x:v>狮驼岭段开端，适合做“极端风险治理”专题。</x:v>
      </x:c>
    </x:row>
    <x:row r="76">
      <x:c r="A76" s="27" t="n">
        <x:v>75</x:v>
      </x:c>
      <x:c r="B76" s="27" t="str">
        <x:v>心猿钻透阴阳窍 魔主还归大道真</x:v>
      </x:c>
      <x:c r="C76" s="27" t="str">
        <x:v>狮驼岭/被吞与脱困</x:v>
      </x:c>
      <x:c r="D76" s="27" t="str">
        <x:v>悟空与三魔周旋，被青狮吞入腹中，又在其体内反制，揭示强敌并非不可破，但需要找到系统内部弱点。</x:v>
      </x:c>
      <x:c r="E76" s="27" t="str">
        <x:v>孙悟空、青狮、白象、大鹏、唐僧、八戒、沙僧</x:v>
      </x:c>
      <x:c r="F76" s="27" t="str">
        <x:v>狮驼洞、妖怪体内空间</x:v>
      </x:c>
      <x:c r="G76" s="27" t="str">
        <x:v>钻透阴阳、吞噬、体内反制、弱点识别</x:v>
      </x:c>
      <x:c r="H76" s="27" t="str">
        <x:v>强权系统看似完整，内部也有可穿透的缝隙；心猿入腹，是进入风险内部寻找突破口。</x:v>
      </x:c>
      <x:c r="I76" s="27" t="str">
        <x:v>治理观察：面对强大系统，外部硬攻不一定有效，内部结构、薄弱点和运行规则更关键。</x:v>
      </x:c>
      <x:c r="J76" s="27" t="str">
        <x:v>很多困局不是打不破，而是没有进入它的内部逻辑。</x:v>
      </x:c>
      <x:c r="K76" s="27" t="str">
        <x:v>悟空被吞、体内反制、三魔惊惧</x:v>
      </x:c>
      <x:c r="L76" s="27" t="str">
        <x:v>待校核原文</x:v>
      </x:c>
      <x:c r="M76" s="27" t="str">
        <x:v>https://zh.wikisource.org/wiki/西游记/第七十五回</x:v>
      </x:c>
      <x:c r="N76" s="27" t="str">
        <x:v>可与金刚琢、人种袋等“被控制/被收摄”段落比较。</x:v>
      </x:c>
    </x:row>
    <x:row r="77">
      <x:c r="A77" s="27" t="n">
        <x:v>76</x:v>
      </x:c>
      <x:c r="B77" s="27" t="str">
        <x:v>心神居舍魔归性 木母同降怪体真</x:v>
      </x:c>
      <x:c r="C77" s="27" t="str">
        <x:v>狮驼岭/团队受制与三魔显形</x:v>
      </x:c>
      <x:c r="D77" s="27" t="str">
        <x:v>三魔继续设局，唐僧团队陷入严重危机；青狮、白象、大鹏各显本相，妖怪集团的真实能力与后台线索进一步显露。</x:v>
      </x:c>
      <x:c r="E77" s="27" t="str">
        <x:v>唐僧、孙悟空、猪八戒、沙僧、青狮、白象、大鹏</x:v>
      </x:c>
      <x:c r="F77" s="27" t="str">
        <x:v>狮驼岭、狮驼洞</x:v>
      </x:c>
      <x:c r="G77" s="27" t="str">
        <x:v>三魔、显形、团队受制、怪体真</x:v>
      </x:c>
      <x:c r="H77" s="27" t="str">
        <x:v>魔归性、怪体真，意味着问题必须回到本质身份与来源系统才能解决。</x:v>
      </x:c>
      <x:c r="I77" s="27" t="str">
        <x:v>治理观察：复杂风险处置不能停留在现象层，要查清主体、来源、组织结构和背后责任。</x:v>
      </x:c>
      <x:c r="J77" s="27" t="str">
        <x:v>识人识妖，关键在看清本相；看清本相，才谈得上真正处置。</x:v>
      </x:c>
      <x:c r="K77" s="27" t="str">
        <x:v>三魔显形、团队受制、悟空周旋</x:v>
      </x:c>
      <x:c r="L77" s="27" t="str">
        <x:v>待校核原文</x:v>
      </x:c>
      <x:c r="M77" s="27" t="str">
        <x:v>https://zh.wikisource.org/wiki/西游记/第七十六回</x:v>
      </x:c>
      <x:c r="N77" s="27" t="str">
        <x:v>适合接“后台边界与组织化妖怪”专题。</x:v>
      </x:c>
    </x:row>
    <x:row r="78">
      <x:c r="A78" s="27" t="n">
        <x:v>77</x:v>
      </x:c>
      <x:c r="B78" s="27" t="str">
        <x:v>群魔欺本性 一体拜真如</x:v>
      </x:c>
      <x:c r="C78" s="27" t="str">
        <x:v>狮驼国/如来系统终局收束</x:v>
      </x:c>
      <x:c r="D78" s="27" t="str">
        <x:v>悟空请如来出手，如来、文殊、普贤等收束青狮、白象、大鹏；狮驼国极端妖祸终被更高系统治理。</x:v>
      </x:c>
      <x:c r="E78" s="27" t="str">
        <x:v>孙悟空、如来、文殊、普贤、青狮、白象、大鹏、唐僧团队</x:v>
      </x:c>
      <x:c r="F78" s="27" t="str">
        <x:v>狮驼岭、狮驼国、灵山系统</x:v>
      </x:c>
      <x:c r="G78" s="27" t="str">
        <x:v>群魔、一体、真如、如来收束、后台边界</x:v>
      </x:c>
      <x:c r="H78" s="27" t="str">
        <x:v>全书最重的妖怪集团之一最终必须由最高佛门系统收束，显示后台风险到了极端程度时，地方处置已不足。</x:v>
      </x:c>
      <x:c r="I78" s="27" t="str">
        <x:v>治理观察：当风险涉及跨层级后台、集团化作恶和区域性灾害，必须启动最高层级协调与责任收口。</x:v>
      </x:c>
      <x:c r="J78" s="27" t="str">
        <x:v>有些难不是个人勇力可解，而要制度回到它应承担责任的位置。</x:v>
      </x:c>
      <x:c r="K78" s="27" t="str">
        <x:v>悟空请如来、如来收鹏、文殊普贤收坐骑</x:v>
      </x:c>
      <x:c r="L78" s="27" t="str">
        <x:v>待校核原文</x:v>
      </x:c>
      <x:c r="M78" s="27" t="str">
        <x:v>https://zh.wikisource.org/wiki/西游记/第七十七回</x:v>
      </x:c>
      <x:c r="N78" s="27" t="str">
        <x:v>狮驼岭段可作为全书“后台妖怪研究”的高峰样本。</x:v>
      </x:c>
    </x:row>
    <x:row r="79">
      <x:c r="A79" s="27" t="n">
        <x:v>78</x:v>
      </x:c>
      <x:c r="B79" s="27" t="str">
        <x:v>比丘怜子遣阴神 金殿识魔谈道德</x:v>
      </x:c>
      <x:c r="C79" s="27" t="str">
        <x:v>比丘国/儿童风险与王权被妖惑</x:v>
      </x:c>
      <x:c r="D79" s="27" t="str">
        <x:v>比丘国王受国丈蛊惑，欲取小儿心肝作药；唐僧团队入国，悟空识别妖邪根源。</x:v>
      </x:c>
      <x:c r="E79" s="27" t="str">
        <x:v>唐僧、孙悟空、比丘国王、国丈、白鹿精、狐狸精、众小儿</x:v>
      </x:c>
      <x:c r="F79" s="27" t="str">
        <x:v>比丘国、金殿、王宫</x:v>
      </x:c>
      <x:c r="G79" s="27" t="str">
        <x:v>儿童、采补、妖术、王权失序</x:v>
      </x:c>
      <x:c r="H79" s="27" t="str">
        <x:v>以儿童为代价的权力迷妄，暴露王权被妖邪操控后的伦理崩坏。</x:v>
      </x:c>
      <x:c r="I79" s="27" t="str">
        <x:v>治理底线：凡以弱者为牺牲品的制度安排，必须视为最高级别风险。</x:v>
      </x:c>
      <x:c r="J79" s="27" t="str">
        <x:v>真正的妖邪不只在山洞，也可能坐在金殿中，以养生、长寿、秘方包装自己。</x:v>
      </x:c>
      <x:c r="K79" s="27" t="str">
        <x:v>比丘国儿童、国丈献方、悟空识魔、唐僧入朝辨邪</x:v>
      </x:c>
      <x:c r="L79" s="27" t="str">
        <x:v>待校核原文</x:v>
      </x:c>
      <x:c r="M79" s="27" t="str">
        <x:v>https://zh.wikisource.org/wiki/西游记/第七十八回</x:v>
      </x:c>
      <x:c r="N79" s="27" t="str">
        <x:v>适合纳入“儿童保护与王权失序”专题。</x:v>
      </x:c>
    </x:row>
    <x:row r="80">
      <x:c r="A80" s="27" t="n">
        <x:v>79</x:v>
      </x:c>
      <x:c r="B80" s="27" t="str">
        <x:v>寻洞擒妖逢老寿 当朝正主救婴儿</x:v>
      </x:c>
      <x:c r="C80" s="27" t="str">
        <x:v>比丘国收束/后台认领</x:v>
      </x:c>
      <x:c r="D80" s="27" t="str">
        <x:v>悟空寻洞擒妖，发现国丈为南极老人白鹿，狐狸精伏诛；众儿童获救。</x:v>
      </x:c>
      <x:c r="E80" s="27" t="str">
        <x:v>孙悟空、猪八戒、白鹿精、狐狸精、南极老人、比丘国王、众小儿</x:v>
      </x:c>
      <x:c r="F80" s="27" t="str">
        <x:v>清华庄/妖洞、比丘国王宫</x:v>
      </x:c>
      <x:c r="G80" s="27" t="str">
        <x:v>白鹿、寿星、救婴、后台</x:v>
      </x:c>
      <x:c r="H80" s="27" t="str">
        <x:v>后台坐骑失管造成严重公共风险，收束虽快，但责任边界仍值得追问。</x:v>
      </x:c>
      <x:c r="I80" s="27" t="str">
        <x:v>后台认领不能替代前端防控，坐骑、童子、法宝下界都应纳入责任链。</x:v>
      </x:c>
      <x:c r="J80" s="27" t="str">
        <x:v>救人比降妖更重要；真正的功德是把被牺牲的人从制度迷梦中救回来。</x:v>
      </x:c>
      <x:c r="K80" s="27" t="str">
        <x:v>悟空寻洞、狐狸精被除、南极老人收鹿、众小儿获救</x:v>
      </x:c>
      <x:c r="L80" s="27" t="str">
        <x:v>待校核原文</x:v>
      </x:c>
      <x:c r="M80" s="27" t="str">
        <x:v>https://zh.wikisource.org/wiki/西游记/第七十九回</x:v>
      </x:c>
      <x:c r="N80" s="27" t="str">
        <x:v>可与青毛狮子、金毛犼等坐骑样本对照。</x:v>
      </x:c>
    </x:row>
    <x:row r="81">
      <x:c r="A81" s="27" t="n">
        <x:v>80</x:v>
      </x:c>
      <x:c r="B81" s="27" t="str">
        <x:v>姹女育阳求配偶 心猿护主识妖邪</x:v>
      </x:c>
      <x:c r="C81" s="27" t="str">
        <x:v>无底洞开端/身份迷局</x:v>
      </x:c>
      <x:c r="D81" s="27" t="str">
        <x:v>镇海寺救出女子，后入黑松林、无底洞风险显现；悟空察觉其妖邪本相。</x:v>
      </x:c>
      <x:c r="E81" s="27" t="str">
        <x:v>唐僧、孙悟空、猪八戒、沙僧、女子/地涌夫人、镇海寺僧</x:v>
      </x:c>
      <x:c r="F81" s="27" t="str">
        <x:v>镇海寺、黑松林、无底洞</x:v>
      </x:c>
      <x:c r="G81" s="27" t="str">
        <x:v>姹女、配偶、识妖、护主</x:v>
      </x:c>
      <x:c r="H81" s="27" t="str">
        <x:v>美色、婚配与身份伪装交织，考验唐僧团队识别能力。</x:v>
      </x:c>
      <x:c r="I81" s="27" t="str">
        <x:v>组织风险常以‘求救对象’形态出现，善意救助也需核验身份与后续风险。</x:v>
      </x:c>
      <x:c r="J81" s="27" t="str">
        <x:v>慈悲不等于无边界，救助之后仍要保持清醒。</x:v>
      </x:c>
      <x:c r="K81" s="27" t="str">
        <x:v>镇海寺救女、女子诱引、悟空识妖邪</x:v>
      </x:c>
      <x:c r="L81" s="27" t="str">
        <x:v>待校核原文</x:v>
      </x:c>
      <x:c r="M81" s="27" t="str">
        <x:v>https://zh.wikisource.org/wiki/西游记/第八十回</x:v>
      </x:c>
      <x:c r="N81" s="27" t="str">
        <x:v>进入老鼠精/地涌夫人段。</x:v>
      </x:c>
    </x:row>
    <x:row r="82">
      <x:c r="A82" s="27" t="n">
        <x:v>81</x:v>
      </x:c>
      <x:c r="B82" s="27" t="str">
        <x:v>镇海寺心猿知怪 黑松林三众寻师</x:v>
      </x:c>
      <x:c r="C82" s="27" t="str">
        <x:v>无底洞危机升级/师父被擒</x:v>
      </x:c>
      <x:c r="D82" s="27" t="str">
        <x:v>唐僧被妖女摄入无底洞，八戒、沙僧、小白龙等寻找师父，团队再陷失主危机。</x:v>
      </x:c>
      <x:c r="E82" s="27" t="str">
        <x:v>唐僧、孙悟空、猪八戒、沙僧、小白龙、地涌夫人</x:v>
      </x:c>
      <x:c r="F82" s="27" t="str">
        <x:v>镇海寺、黑松林、无底洞</x:v>
      </x:c>
      <x:c r="G82" s="27" t="str">
        <x:v>失主、寻师、洞府、诱捕</x:v>
      </x:c>
      <x:c r="H82" s="27" t="str">
        <x:v>取经团队的核心合法性再次被夺走，外部诱捕触发内部救援机制。</x:v>
      </x:c>
      <x:c r="I82" s="27" t="str">
        <x:v>团队使命人物被带离现场时，组织容易陷入信息失真、分工失序和救援焦虑。</x:v>
      </x:c>
      <x:c r="J82" s="27" t="str">
        <x:v>越接近目标，越要警惕看似偶然的温情陷阱。</x:v>
      </x:c>
      <x:c r="K82" s="27" t="str">
        <x:v>唐僧被摄、三众寻师、悟空追查洞府</x:v>
      </x:c>
      <x:c r="L82" s="27" t="str">
        <x:v>待校核原文</x:v>
      </x:c>
      <x:c r="M82" s="27" t="str">
        <x:v>https://zh.wikisource.org/wiki/西游记/第八十一回</x:v>
      </x:c>
      <x:c r="N82" s="27" t="str">
        <x:v>可与黄袍怪、蝎子精段对比。</x:v>
      </x:c>
    </x:row>
    <x:row r="83">
      <x:c r="A83" s="27" t="n">
        <x:v>82</x:v>
      </x:c>
      <x:c r="B83" s="27" t="str">
        <x:v>姹女求阳 元神护道</x:v>
      </x:c>
      <x:c r="C83" s="27" t="str">
        <x:v>无底洞深层/欲望与护道</x:v>
      </x:c>
      <x:c r="D83" s="27" t="str">
        <x:v>地涌夫人逼婚求配，唐僧身处欲望化空间；悟空等继续护道破局。</x:v>
      </x:c>
      <x:c r="E83" s="27" t="str">
        <x:v>唐僧、孙悟空、地涌夫人、猪八戒、沙僧</x:v>
      </x:c>
      <x:c r="F83" s="27" t="str">
        <x:v>无底洞</x:v>
      </x:c>
      <x:c r="G83" s="27" t="str">
        <x:v>求阳、护道、逼婚、欲望</x:v>
      </x:c>
      <x:c r="H83" s="27" t="str">
        <x:v>妖邪以婚配名义占有圣僧，欲望与身份转换构成深层试炼。</x:v>
      </x:c>
      <x:c r="I83" s="27" t="str">
        <x:v>组织核心价值被私人化、情感化包装时，必须坚持任务边界。</x:v>
      </x:c>
      <x:c r="J83" s="27" t="str">
        <x:v>修行不是无情，而是不被欲望改写方向。</x:v>
      </x:c>
      <x:c r="K83" s="27" t="str">
        <x:v>无底洞逼婚、悟空护道、团队救援</x:v>
      </x:c>
      <x:c r="L83" s="27" t="str">
        <x:v>待校核原文</x:v>
      </x:c>
      <x:c r="M83" s="27" t="str">
        <x:v>https://zh.wikisource.org/wiki/西游记/第八十二回</x:v>
      </x:c>
      <x:c r="N83" s="27" t="str">
        <x:v>适合写“慈悲与边界”专题。</x:v>
      </x:c>
    </x:row>
    <x:row r="84">
      <x:c r="A84" s="27" t="n">
        <x:v>83</x:v>
      </x:c>
      <x:c r="B84" s="27" t="str">
        <x:v>心猿识得丹头 姹女还归本性</x:v>
      </x:c>
      <x:c r="C84" s="27" t="str">
        <x:v>无底洞收束/亲属后台与身份归位</x:v>
      </x:c>
      <x:c r="D84" s="27" t="str">
        <x:v>悟空查明地涌夫人身份，牵出托塔天王、哪吒关系；最终妖怪被收伏，唐僧脱险。</x:v>
      </x:c>
      <x:c r="E84" s="27" t="str">
        <x:v>孙悟空、唐僧、地涌夫人、托塔天王、哪吒、猪八戒、沙僧</x:v>
      </x:c>
      <x:c r="F84" s="27" t="str">
        <x:v>无底洞、天庭系统</x:v>
      </x:c>
      <x:c r="G84" s="27" t="str">
        <x:v>丹头、义女、天王、哪吒、归本</x:v>
      </x:c>
      <x:c r="H84" s="27" t="str">
        <x:v>妖怪身份牵出天庭亲属关系，后台不再只是坐骑、童子，也包括收养/义亲关系。</x:v>
      </x:c>
      <x:c r="I84" s="27" t="str">
        <x:v>亲属关系若缺少边界和监管，同样可能成为风险来源。</x:v>
      </x:c>
      <x:c r="J84" s="27" t="str">
        <x:v>识得本性，才能真正收束；只打妖怪，不查来源，风险会反复。</x:v>
      </x:c>
      <x:c r="K84" s="27" t="str">
        <x:v>悟空查明来历、托塔天王父女关系、哪吒协同、唐僧脱险</x:v>
      </x:c>
      <x:c r="L84" s="27" t="str">
        <x:v>待校核原文</x:v>
      </x:c>
      <x:c r="M84" s="27" t="str">
        <x:v>https://zh.wikisource.org/wiki/西游记/第八十三回</x:v>
      </x:c>
      <x:c r="N84" s="27" t="str">
        <x:v>后台妖怪表需新增地涌夫人/金鼻白毛老鼠精。</x:v>
      </x:c>
    </x:row>
    <x:row r="85">
      <x:c r="A85" s="27" t="n">
        <x:v>84</x:v>
      </x:c>
      <x:c r="B85" s="27" t="str">
        <x:v>难灭伽持圆大觉 法王成正体天然</x:v>
      </x:c>
      <x:c r="C85" s="27" t="str">
        <x:v>灭法国段/制度性偏见</x:v>
      </x:c>
      <x:c r="D85" s="27" t="str">
        <x:v>唐僧师徒进入灭法国，国王原以灭僧为政令；悟空以剃发改装等方式破除偏执，最终使其转向敬法。</x:v>
      </x:c>
      <x:c r="E85" s="27" t="str">
        <x:v>唐僧、孙悟空、猪八戒、沙僧、灭法国王、群臣、馆驿人员</x:v>
      </x:c>
      <x:c r="F85" s="27" t="str">
        <x:v>灭法国、馆驿、王宫</x:v>
      </x:c>
      <x:c r="G85" s="27" t="str">
        <x:v>灭法、身份避险、剃发、政治偏见、钦法</x:v>
      </x:c>
      <x:c r="H85" s="27" t="str">
        <x:v>这一回的妖不在山洞，而在制度性偏见和权力执念之中。</x:v>
      </x:c>
      <x:c r="I85" s="27" t="str">
        <x:v>制度风险不一定以妖怪形态出现，也可能表现为政策偏执、身份排斥和群体污名。</x:v>
      </x:c>
      <x:c r="J85" s="27" t="str">
        <x:v>真正难灭的不是佛法，而是人心中的偏见；圆大觉要从改心开始。</x:v>
      </x:c>
      <x:c r="K85" s="27" t="str">
        <x:v>灭法国禁僧、师徒投宿、悟空剃发化解、改名钦法</x:v>
      </x:c>
      <x:c r="L85" s="27" t="str">
        <x:v>待校核原文</x:v>
      </x:c>
      <x:c r="M85" s="27" t="str">
        <x:v>https://zh.wikisource.org/wiki/西游记/第八十四回</x:v>
      </x:c>
      <x:c r="N85" s="27" t="str">
        <x:v>适合写“制度性偏见与身份避险”专题。</x:v>
      </x:c>
    </x:row>
    <x:row r="86">
      <x:c r="A86" s="27" t="n">
        <x:v>85</x:v>
      </x:c>
      <x:c r="B86" s="27" t="str">
        <x:v>心猿妒木母 魔主计吞禅</x:v>
      </x:c>
      <x:c r="C86" s="27" t="str">
        <x:v>隐雾山开端/普通妖怪诱捕</x:v>
      </x:c>
      <x:c r="D86" s="27" t="str">
        <x:v>离开灭法国后，师徒进入隐雾山，南山大王/豹子精一伙设谋诱捕唐僧，团队遭遇非后台山林妖怪风险。</x:v>
      </x:c>
      <x:c r="E86" s="27" t="str">
        <x:v>唐僧、孙悟空、猪八戒、沙僧、南山大王/豹子精、小妖</x:v>
      </x:c>
      <x:c r="F86" s="27" t="str">
        <x:v>隐雾山、折岳连环洞</x:v>
      </x:c>
      <x:c r="G86" s="27" t="str">
        <x:v>隐雾山、豹子精、诱捕、吞禅、山林风险</x:v>
      </x:c>
      <x:c r="H86" s="27" t="str">
        <x:v>风险从王权制度转入山林阻隔；没有强后台的妖怪，也能靠地形、计谋和信息不对称制造危机。</x:v>
      </x:c>
      <x:c r="I86" s="27" t="str">
        <x:v>普通风险不能因‘无后台’而低估，局部环境、信息遮蔽和团队疏忽足以放大损失。</x:v>
      </x:c>
      <x:c r="J86" s="27" t="str">
        <x:v>越是平常山路，越要防轻忽；取经后半程的难，常从一念松懈处起。</x:v>
      </x:c>
      <x:c r="K86" s="27" t="str">
        <x:v>隐雾山入险、妖怪设谋、唐僧被诱、团队分头应对</x:v>
      </x:c>
      <x:c r="L86" s="27" t="str">
        <x:v>待校核原文</x:v>
      </x:c>
      <x:c r="M86" s="27" t="str">
        <x:v>https://zh.wikisource.org/wiki/西游记/第八十五回</x:v>
      </x:c>
      <x:c r="N86" s="27" t="str">
        <x:v>与狮驼岭极端组织化妖怪形成对照。</x:v>
      </x:c>
    </x:row>
    <x:row r="87">
      <x:c r="A87" s="27" t="n">
        <x:v>86</x:v>
      </x:c>
      <x:c r="B87" s="27" t="str">
        <x:v>木母助威征怪物 金公施法灭妖邪</x:v>
      </x:c>
      <x:c r="C87" s="27" t="str">
        <x:v>隐雾山收束/非后台妖怪清除</x:v>
      </x:c>
      <x:c r="D87" s="27" t="str">
        <x:v>悟空、八戒等协同破局，查明南山大王/豹子精本相，最终灭除妖邪，唐僧团队脱险继续西行。</x:v>
      </x:c>
      <x:c r="E87" s="27" t="str">
        <x:v>孙悟空、猪八戒、唐僧、沙僧、南山大王/豹子精、小妖</x:v>
      </x:c>
      <x:c r="F87" s="27" t="str">
        <x:v>隐雾山、折岳连环洞</x:v>
      </x:c>
      <x:c r="G87" s="27" t="str">
        <x:v>木母、金公、征怪、灭妖、协同</x:v>
      </x:c>
      <x:c r="H87" s="27" t="str">
        <x:v>隐雾山段突出常规团队协同：没有最高后台收束，也无大型法宝压制，主要靠侦察、识别、战斗与配合。</x:v>
      </x:c>
      <x:c r="I87" s="27" t="str">
        <x:v>常态风险治理要靠一线能力、协同执行和及时复盘，而不能总依赖上级神佛救援。</x:v>
      </x:c>
      <x:c r="J87" s="27" t="str">
        <x:v>能独立解决的难，正是团队成熟的标志。</x:v>
      </x:c>
      <x:c r="K87" s="27" t="str">
        <x:v>悟空施法、八戒助威、妖怪被灭、唐僧脱险</x:v>
      </x:c>
      <x:c r="L87" s="27" t="str">
        <x:v>待校核原文</x:v>
      </x:c>
      <x:c r="M87" s="27" t="str">
        <x:v>https://zh.wikisource.org/wiki/西游记/第八十六回</x:v>
      </x:c>
      <x:c r="N87" s="27" t="str">
        <x:v>可作为“非后台妖怪”专题样本。</x:v>
      </x:c>
    </x:row>
    <x:row r="88">
      <x:c r="A88" s="27" t="n">
        <x:v>87</x:v>
      </x:c>
      <x:c r="B88" s="27" t="str">
        <x:v>凤仙郡冒天止雨 孙大圣劝善施霖</x:v>
      </x:c>
      <x:c r="C88" s="27" t="str">
        <x:v>凤仙郡段/天灾与德治</x:v>
      </x:c>
      <x:c r="D88" s="27" t="str">
        <x:v>唐僧师徒至凤仙郡，见三年大旱、百姓困苦；悟空上天求雨，知郡侯曾冒犯上天，后劝其改过敬天，终于降雨施霖。</x:v>
      </x:c>
      <x:c r="E88" s="27" t="str">
        <x:v>唐僧、孙悟空、凤仙郡侯、玉帝、雷部诸神、猪八戒、沙僧</x:v>
      </x:c>
      <x:c r="F88" s="27" t="str">
        <x:v>凤仙郡、天庭、雷部</x:v>
      </x:c>
      <x:c r="G88" s="27" t="str">
        <x:v>旱灾、求雨、德政、悔过、劝善</x:v>
      </x:c>
      <x:c r="H88" s="27" t="str">
        <x:v>自然灾害与道德秩序相连，小说以天灾书写人心与治理责任。</x:v>
      </x:c>
      <x:c r="I88" s="27" t="str">
        <x:v>地方治理遇到系统性灾害时，不能只求外援，还要复盘自身行为、制度失德和民生责任。</x:v>
      </x:c>
      <x:c r="J88" s="27" t="str">
        <x:v>救灾先救心，施霖之前要先劝善；真正的治理是恢复人与天、民与政的关系。</x:v>
      </x:c>
      <x:c r="K88" s="27" t="str">
        <x:v>凤仙郡三年不雨、悟空上天求雨、郡侯悔过、雷部施雨</x:v>
      </x:c>
      <x:c r="L88" s="27" t="str">
        <x:v>待校核原文</x:v>
      </x:c>
      <x:c r="M88" s="27" t="str">
        <x:v>https://zh.wikisource.org/wiki/西游记/第八十七回</x:v>
      </x:c>
      <x:c r="N88" s="27" t="str">
        <x:v>适合写‘天灾治理与德政’专题。</x:v>
      </x:c>
    </x:row>
    <x:row r="89">
      <x:c r="A89" s="27" t="n">
        <x:v>88</x:v>
      </x:c>
      <x:c r="B89" s="27" t="str">
        <x:v>禅到玉华施法会 心猿木母授门人</x:v>
      </x:c>
      <x:c r="C89" s="27" t="str">
        <x:v>玉华州开端/传承与外显能力</x:v>
      </x:c>
      <x:c r="D89" s="27" t="str">
        <x:v>师徒到玉华州，三位王子仰慕唐僧弟子本领，悟空、八戒、沙僧分别授艺，取经团队从执行者转为临时师者。</x:v>
      </x:c>
      <x:c r="E89" s="27" t="str">
        <x:v>唐僧、孙悟空、猪八戒、沙僧、玉华王、三位王子</x:v>
      </x:c>
      <x:c r="F89" s="27" t="str">
        <x:v>玉华州、王府</x:v>
      </x:c>
      <x:c r="G89" s="27" t="str">
        <x:v>授艺、传承、王子、兵器、法会</x:v>
      </x:c>
      <x:c r="H89" s="27" t="str">
        <x:v>取经后半程出现传承场景：本领可教，但能力外显也引出新的风险。</x:v>
      </x:c>
      <x:c r="I89" s="27" t="str">
        <x:v>经验传承要有边界，不能只展示能力而忽视工具、兵器和学习者的承载条件。</x:v>
      </x:c>
      <x:c r="J89" s="27" t="str">
        <x:v>传艺不是炫技；越是临近成功，越要管理好自己的资源与影响。</x:v>
      </x:c>
      <x:c r="K89" s="27" t="str">
        <x:v>三王子拜师、悟空八戒沙僧授艺、兵器陈列</x:v>
      </x:c>
      <x:c r="L89" s="27" t="str">
        <x:v>待校核原文</x:v>
      </x:c>
      <x:c r="M89" s="27" t="str">
        <x:v>https://zh.wikisource.org/wiki/西游记/第八十八回</x:v>
      </x:c>
      <x:c r="N89" s="27" t="str">
        <x:v>与第89回兵器被盗形成直接因果。</x:v>
      </x:c>
    </x:row>
    <x:row r="90">
      <x:c r="A90" s="27" t="n">
        <x:v>89</x:v>
      </x:c>
      <x:c r="B90" s="27" t="str">
        <x:v>黄狮精虚设钉钯宴 金木土计闹豹头山</x:v>
      </x:c>
      <x:c r="C90" s="27" t="str">
        <x:v>黄狮精段/兵器被盗与资源风险</x:v>
      </x:c>
      <x:c r="D90" s="27" t="str">
        <x:v>黄狮精盗走金箍棒、钉钯、禅杖等兵器，并设钉钯宴；悟空、八戒、沙僧用计混入豹头山，夺回兵器并追击妖怪。</x:v>
      </x:c>
      <x:c r="E90" s="27" t="str">
        <x:v>孙悟空、猪八戒、沙僧、唐僧、黄狮精、玉华州王子、小妖</x:v>
      </x:c>
      <x:c r="F90" s="27" t="str">
        <x:v>玉华州、豹头山、虎口洞</x:v>
      </x:c>
      <x:c r="G90" s="27" t="str">
        <x:v>黄狮精、钉钯宴、兵器被盗、豹头山、反制</x:v>
      </x:c>
      <x:c r="H90" s="27" t="str">
        <x:v>法器与兵器也是团队能力的外部化，一旦失控，团队战力和身份象征都会受损。</x:v>
      </x:c>
      <x:c r="I90" s="27" t="str">
        <x:v>关键工具必须有保管机制；展示、传授、借用都要有边界和风险预案。</x:v>
      </x:c>
      <x:c r="J90" s="27" t="str">
        <x:v>能力不只在身上，也在器物和制度中；失器即失势。</x:v>
      </x:c>
      <x:c r="K90" s="27" t="str">
        <x:v>黄狮精盗兵器、钉钯宴、三徒变作小妖、闹豹头山</x:v>
      </x:c>
      <x:c r="L90" s="27" t="str">
        <x:v>待校核原文</x:v>
      </x:c>
      <x:c r="M90" s="27" t="str">
        <x:v>https://zh.wikisource.org/wiki/西游记/第八十九回</x:v>
      </x:c>
      <x:c r="N90" s="27" t="str">
        <x:v>适合纳入法宝/资源治理专题。</x:v>
      </x:c>
    </x:row>
    <x:row r="91">
      <x:c r="A91" s="27" t="n">
        <x:v>90</x:v>
      </x:c>
      <x:c r="B91" s="27" t="str">
        <x:v>师狮授受同归一 盗道缠禅静九灵</x:v>
      </x:c>
      <x:c r="C91" s="27" t="str">
        <x:v>九灵元圣段/高阶后台收束</x:v>
      </x:c>
      <x:c r="D91" s="27" t="str">
        <x:v>黄狮精背后牵出九灵元圣，妖怪集团升级；悟空请来太乙救苦天尊，九灵元圣本为其座下九头狮子，最终被收回。</x:v>
      </x:c>
      <x:c r="E91" s="27" t="str">
        <x:v>孙悟空、唐僧、猪八戒、沙僧、黄狮精、九灵元圣、太乙救苦天尊、玉华王子</x:v>
      </x:c>
      <x:c r="F91" s="27" t="str">
        <x:v>豹头山、竹节山、九曲盘桓洞、妙岩宫相关系统</x:v>
      </x:c>
      <x:c r="G91" s="27" t="str">
        <x:v>九灵元圣、九头狮子、后台升级、太乙救苦天尊、收束</x:v>
      </x:c>
      <x:c r="H91" s="27" t="str">
        <x:v>从普通偷盗型妖怪迅速升级到高阶坐骑后台，说明风险背后常有更深系统来源。</x:v>
      </x:c>
      <x:c r="I91" s="27" t="str">
        <x:v>风险处置要追根溯源：只处理前端黄狮精，不查后端九灵元圣，问题不会真正闭环。</x:v>
      </x:c>
      <x:c r="J91" s="27" t="str">
        <x:v>越到后程，越要懂得分层处置；该请高层系统收束时不能逞强。</x:v>
      </x:c>
      <x:c r="K91" s="27" t="str">
        <x:v>黄狮精牵出九灵元圣、悟空请太乙救苦天尊、九头狮子被收</x:v>
      </x:c>
      <x:c r="L91" s="27" t="str">
        <x:v>待校核原文</x:v>
      </x:c>
      <x:c r="M91" s="27" t="str">
        <x:v>https://zh.wikisource.org/wiki/西游记/第九十回</x:v>
      </x:c>
      <x:c r="N91" s="27" t="str">
        <x:v>后台妖怪等级体系的重要样本。</x:v>
      </x:c>
    </x:row>
    <x:row r="92">
      <x:c r="A92" s="27" t="n">
        <x:v>91</x:v>
      </x:c>
      <x:c r="B92" s="27" t="str">
        <x:v>金平府元夜观灯 玄英洞唐僧供状</x:v>
      </x:c>
      <x:c r="C92" s="27" t="str">
        <x:v>金平府/祭祀经济风险</x:v>
      </x:c>
      <x:c r="D92" s="27" t="str">
        <x:v>金平府元夜观灯，唐僧被三犀牛精摄入玄英洞，地方供奉与假神显灵风险显现。</x:v>
      </x:c>
      <x:c r="E92" s="27" t="str">
        <x:v>唐僧、孙悟空、猪八戒、沙僧、金平府众僧、三犀牛怪</x:v>
      </x:c>
      <x:c r="F92" s="27" t="str">
        <x:v>金平府、玄英洞</x:v>
      </x:c>
      <x:c r="G92" s="27" t="str">
        <x:v>元夜观灯、灯油供奉、假神、玄英洞</x:v>
      </x:c>
      <x:c r="H92" s="27" t="str">
        <x:v>临近灵山，外在诱惑转为地方信仰与供奉经济的迷障。</x:v>
      </x:c>
      <x:c r="I92" s="27" t="str">
        <x:v>地方长期供奉若缺乏辨伪机制，易被假权威与利益链占据。</x:v>
      </x:c>
      <x:c r="J92" s="27" t="str">
        <x:v>越接近终点，越要防范看似虔诚、实则耗费民力的制度化迷障。</x:v>
      </x:c>
      <x:c r="K92" s="27" t="str">
        <x:v>元夜观灯、唐僧入供状、玄英洞三怪摄僧</x:v>
      </x:c>
      <x:c r="L92" s="27" t="str">
        <x:v>待校核原文</x:v>
      </x:c>
      <x:c r="M92" s="27" t="str">
        <x:v>https://zh.wikisource.org/wiki/西游记/第九十一回</x:v>
      </x:c>
      <x:c r="N92" s="27" t="str">
        <x:v>与第92回合并研究金平府犀牛怪。</x:v>
      </x:c>
    </x:row>
    <x:row r="93">
      <x:c r="A93" s="27" t="n">
        <x:v>92</x:v>
      </x:c>
      <x:c r="B93" s="27" t="str">
        <x:v>三僧大战青龙山 四星挟捉犀牛怪</x:v>
      </x:c>
      <x:c r="C93" s="27" t="str">
        <x:v>三犀牛怪收束/外部专业救援</x:v>
      </x:c>
      <x:c r="D93" s="27" t="str">
        <x:v>悟空等与三犀牛怪交战，后请四木禽星协助，擒捉犀牛怪。</x:v>
      </x:c>
      <x:c r="E93" s="27" t="str">
        <x:v>孙悟空、猪八戒、沙僧、辟寒大王、辟暑大王、辟尘大王、四木禽星</x:v>
      </x:c>
      <x:c r="F93" s="27" t="str">
        <x:v>青龙山、玄英洞、天庭星宿系统</x:v>
      </x:c>
      <x:c r="G93" s="27" t="str">
        <x:v>犀牛怪、四木禽星、专业克制、救援升级</x:v>
      </x:c>
      <x:c r="H93" s="27" t="str">
        <x:v>妖怪各有性属，破局常需找到相克之法。</x:v>
      </x:c>
      <x:c r="I93" s="27" t="str">
        <x:v>常规战斗不一定最优，专业克制与外部资源匹配更关键。</x:v>
      </x:c>
      <x:c r="J93" s="27" t="str">
        <x:v>遇到专门性问题，要请对的人、用对的工具。</x:v>
      </x:c>
      <x:c r="K93" s="27" t="str">
        <x:v>三僧大战、四木禽星下界、犀牛怪被擒</x:v>
      </x:c>
      <x:c r="L93" s="27" t="str">
        <x:v>待校核原文</x:v>
      </x:c>
      <x:c r="M93" s="27" t="str">
        <x:v>https://zh.wikisource.org/wiki/西游记/第九十二回</x:v>
      </x:c>
      <x:c r="N93" s="27" t="str">
        <x:v>可与蜈蚣精—毗蓝婆、蝎子精—昴日星官对比。</x:v>
      </x:c>
    </x:row>
    <x:row r="94">
      <x:c r="A94" s="27" t="n">
        <x:v>93</x:v>
      </x:c>
      <x:c r="B94" s="27" t="str">
        <x:v>给孤园问古谈因 天竺国朝王遇偶</x:v>
      </x:c>
      <x:c r="C94" s="27" t="str">
        <x:v>天竺国前奏/因果与身份伏笔</x:v>
      </x:c>
      <x:c r="D94" s="27" t="str">
        <x:v>唐僧师徒到天竺国，听给孤园旧事，进朝见王，并遇公主相关线索。</x:v>
      </x:c>
      <x:c r="E94" s="27" t="str">
        <x:v>唐僧、孙悟空、天竺国王、天竺公主、寺僧</x:v>
      </x:c>
      <x:c r="F94" s="27" t="str">
        <x:v>给孤园、天竺国</x:v>
      </x:c>
      <x:c r="G94" s="27" t="str">
        <x:v>古迹因缘、朝王、偶遇、身份伏笔</x:v>
      </x:c>
      <x:c r="H94" s="27" t="str">
        <x:v>临近灵山，文本回到佛教因缘与现实身份错置并行的结构。</x:v>
      </x:c>
      <x:c r="I94" s="27" t="str">
        <x:v>进入核心区域并不意味着风险消失，反而更需要身份核验。</x:v>
      </x:c>
      <x:c r="J94" s="27" t="str">
        <x:v>越接近成功，越要辨明因缘、身份与真实目标。</x:v>
      </x:c>
      <x:c r="K94" s="27" t="str">
        <x:v>给孤园旧事、天竺国朝王、公主线索</x:v>
      </x:c>
      <x:c r="L94" s="27" t="str">
        <x:v>待校核原文</x:v>
      </x:c>
      <x:c r="M94" s="27" t="str">
        <x:v>https://zh.wikisource.org/wiki/西游记/第九十三回</x:v>
      </x:c>
      <x:c r="N94" s="27" t="str">
        <x:v>为第94—95回玉兔身份替换铺垫。</x:v>
      </x:c>
    </x:row>
    <x:row r="95">
      <x:c r="A95" s="27" t="n">
        <x:v>94</x:v>
      </x:c>
      <x:c r="B95" s="27" t="str">
        <x:v>四僧宴乐御花园 一怪空怀情欲喜</x:v>
      </x:c>
      <x:c r="C95" s="27" t="str">
        <x:v>天竺国/婚配诱惑与身份替换</x:v>
      </x:c>
      <x:c r="D95" s="27" t="str">
        <x:v>假公主以婚配唐僧为目标，御花园宴乐中欲望与身份伪装逐步显形。</x:v>
      </x:c>
      <x:c r="E95" s="27" t="str">
        <x:v>唐僧、孙悟空、天竺国王、假公主/玉兔精、猪八戒、沙僧</x:v>
      </x:c>
      <x:c r="F95" s="27" t="str">
        <x:v>天竺国王宫、御花园</x:v>
      </x:c>
      <x:c r="G95" s="27" t="str">
        <x:v>婚配、宴乐、假公主、情欲</x:v>
      </x:c>
      <x:c r="H95" s="27" t="str">
        <x:v>最后阶段的迷障不再只是妖怪武力，而是体面身份、婚配礼制与欲望诱导。</x:v>
      </x:c>
      <x:c r="I95" s="27" t="str">
        <x:v>正式制度场景也可能被身份冒名占用，必须建立核验机制。</x:v>
      </x:c>
      <x:c r="J95" s="27" t="str">
        <x:v>最难拒绝的诱惑往往披着合法、隆重、体面的外衣。</x:v>
      </x:c>
      <x:c r="K95" s="27" t="str">
        <x:v>御花园宴乐、假公主求配、悟空疑察</x:v>
      </x:c>
      <x:c r="L95" s="27" t="str">
        <x:v>待校核原文</x:v>
      </x:c>
      <x:c r="M95" s="27" t="str">
        <x:v>https://zh.wikisource.org/wiki/西游记/第九十四回</x:v>
      </x:c>
      <x:c r="N95" s="27" t="str">
        <x:v>与女儿国、蝎子精、地涌夫人等女性诱惑段对比。</x:v>
      </x:c>
    </x:row>
    <x:row r="96">
      <x:c r="A96" s="27" t="n">
        <x:v>95</x:v>
      </x:c>
      <x:c r="B96" s="27" t="str">
        <x:v>假合真形擒玉兔 真阴归正会灵元</x:v>
      </x:c>
      <x:c r="C96" s="27" t="str">
        <x:v>玉兔精收束/身份归正</x:v>
      </x:c>
      <x:c r="D96" s="27" t="str">
        <x:v>悟空识破玉兔精，太阴星君出面收束玉兔，真公主身份得以恢复。</x:v>
      </x:c>
      <x:c r="E96" s="27" t="str">
        <x:v>孙悟空、玉兔精、太阴星君、天竺真公主、唐僧、天竺国王</x:v>
      </x:c>
      <x:c r="F96" s="27" t="str">
        <x:v>天竺国、月宫系统</x:v>
      </x:c>
      <x:c r="G96" s="27" t="str">
        <x:v>玉兔精、真假公主、太阴星君、身份归正</x:v>
      </x:c>
      <x:c r="H96" s="27" t="str">
        <x:v>真假身份最终回到本原系统，身份归正也是取经临近完成前的重要功课。</x:v>
      </x:c>
      <x:c r="I96" s="27" t="str">
        <x:v>身份替换风险需要证据、识别、上级归属和责任收束。</x:v>
      </x:c>
      <x:c r="J96" s="27" t="str">
        <x:v>人生与组织都怕“假合真形”：表面合规，实质偏离。</x:v>
      </x:c>
      <x:c r="K96" s="27" t="str">
        <x:v>悟空擒玉兔、太阴星君收束、真公主复位</x:v>
      </x:c>
      <x:c r="L96" s="27" t="str">
        <x:v>待校核原文</x:v>
      </x:c>
      <x:c r="M96" s="27" t="str">
        <x:v>https://zh.wikisource.org/wiki/西游记/第九十五回</x:v>
      </x:c>
      <x:c r="N96" s="27" t="str">
        <x:v>可作为真假身份专题收官样本。</x:v>
      </x:c>
    </x:row>
    <x:row r="97" ht="48" customHeight="1">
      <x:c r="A97" s="27" t="n">
        <x:v>96</x:v>
      </x:c>
      <x:c r="B97" s="27" t="str">
        <x:v>寇员外喜待高僧 唐长老不贪富贵</x:v>
      </x:c>
      <x:c r="C97" s="27" t="str">
        <x:v>寇员外段/布施与外护</x:v>
      </x:c>
      <x:c r="D97" s="27" t="str">
        <x:v>寇员外发愿斋僧，热情供养唐僧师徒；唐僧守戒不贪富贵，临近成功仍须面对善缘、财物与人情考验。</x:v>
      </x:c>
      <x:c r="E97" s="27" t="str">
        <x:v>唐僧、孙悟空、猪八戒、沙僧、寇员外、寇家眷属</x:v>
      </x:c>
      <x:c r="F97" s="27" t="str">
        <x:v>铜台府/地灵县/寇家</x:v>
      </x:c>
      <x:c r="G97" s="27" t="str">
        <x:v>布施、外护、财富、人情、戒贪</x:v>
      </x:c>
      <x:c r="H97" s="27" t="str">
        <x:v>善缘与财物并存；越到终点越要守住本心。</x:v>
      </x:c>
      <x:c r="I97" s="27" t="str">
        <x:v>组织外部支持很重要，但接受支持要有边界，不能让资源馈赠改变使命方向。</x:v>
      </x:c>
      <x:c r="J97" s="27" t="str">
        <x:v>善待他人与守住边界并不矛盾，越是被礼遇越要清醒。</x:v>
      </x:c>
      <x:c r="K97" s="27" t="str">
        <x:v>寇员外斋僧、唐僧不贪、师徒辞别相关场景</x:v>
      </x:c>
      <x:c r="L97" s="27" t="str">
        <x:v>待校核原文</x:v>
      </x:c>
      <x:c r="M97" s="27" t="str">
        <x:v>https://zh.wikisource.org/wiki/西游记/第九十六回</x:v>
      </x:c>
      <x:c r="N97" s="27" t="str">
        <x:v>收官前的善缘考验；为第97回冤案铺垫。</x:v>
      </x:c>
    </x:row>
    <x:row r="98" ht="48" customHeight="1">
      <x:c r="A98" s="27" t="n">
        <x:v>97</x:v>
      </x:c>
      <x:c r="B98" s="27" t="str">
        <x:v>金酬外护遭魔蛰 圣显幽魂救本原</x:v>
      </x:c>
      <x:c r="C98" s="27" t="str">
        <x:v>寇员外冤案/善人遭难</x:v>
      </x:c>
      <x:c r="D98" s="27" t="str">
        <x:v>寇家因财物与盗劫生祸，寇员外遭害，唐僧师徒一度卷入冤案；悟空追查幽冥、救回本原。</x:v>
      </x:c>
      <x:c r="E98" s="27" t="str">
        <x:v>寇员外、唐僧、孙悟空、强盗/贼人、地府相关神祇</x:v>
      </x:c>
      <x:c r="F98" s="27" t="str">
        <x:v>寇家、地府/幽冥、地方官府</x:v>
      </x:c>
      <x:c r="G98" s="27" t="str">
        <x:v>冤案、追责、善恶报应、证据、救本原</x:v>
      </x:c>
      <x:c r="H98" s="27" t="str">
        <x:v>善行并不能自动免除世间风险，因果还需通过查证与伸冤显现。</x:v>
      </x:c>
      <x:c r="I98" s="27" t="str">
        <x:v>外部善意、财物管理和安全风险若无闭环，善事也会转化为事故。</x:v>
      </x:c>
      <x:c r="J98" s="27" t="str">
        <x:v>做好事也要有制度护栏；真正的正义需要证据、追查和复原。</x:v>
      </x:c>
      <x:c r="K98" s="27" t="str">
        <x:v>寇员外遇害、唐僧受牵连、悟空追查救本原场景</x:v>
      </x:c>
      <x:c r="L98" s="27" t="str">
        <x:v>待校核原文</x:v>
      </x:c>
      <x:c r="M98" s="27" t="str">
        <x:v>https://zh.wikisource.org/wiki/西游记/第九十七回</x:v>
      </x:c>
      <x:c r="N98" s="27" t="str">
        <x:v>适合与乌鸡国冤案、祭赛国失宝冤案对照。</x:v>
      </x:c>
    </x:row>
    <x:row r="99" ht="48" customHeight="1">
      <x:c r="A99" s="27" t="n">
        <x:v>98</x:v>
      </x:c>
      <x:c r="B99" s="27" t="str">
        <x:v>猿熟马驯方脱壳 功成行满见真如</x:v>
      </x:c>
      <x:c r="C99" s="27" t="str">
        <x:v>灵山见佛/经卷考验</x:v>
      </x:c>
      <x:c r="D99" s="27" t="str">
        <x:v>师徒到灵山，凌云渡脱凡胎，见如来求经；阿傩、迦叶索取人事，先得无字经，后以紫金钵盂换取有字真经。</x:v>
      </x:c>
      <x:c r="E99" s="27" t="str">
        <x:v>唐僧、孙悟空、猪八戒、沙僧、白龙马、如来、阿傩、迦叶、燃灯古佛</x:v>
      </x:c>
      <x:c r="F99" s="27" t="str">
        <x:v>灵山、凌云渡、大雷音寺</x:v>
      </x:c>
      <x:c r="G99" s="27" t="str">
        <x:v>脱壳、真如、无字经、人事、经卷</x:v>
      </x:c>
      <x:c r="H99" s="27" t="str">
        <x:v>功成不只是抵达目的地，还要完成凡身旧壳的脱落与真伪之辨。</x:v>
      </x:c>
      <x:c r="I99" s="27" t="str">
        <x:v>终局交付仍有流程、规则与灰色空间；最后一公里最需复核交付物。</x:v>
      </x:c>
      <x:c r="J99" s="27" t="str">
        <x:v>真正的成果不仅是拿到“东西”，还要辨别其真假、质量和代价。</x:v>
      </x:c>
      <x:c r="K99" s="27" t="str">
        <x:v>凌云渡脱壳、阿傩迦叶索人事、无字经、有字经场景</x:v>
      </x:c>
      <x:c r="L99" s="27" t="str">
        <x:v>待校核原文</x:v>
      </x:c>
      <x:c r="M99" s="27" t="str">
        <x:v>https://zh.wikisource.org/wiki/西游记/第九十八回</x:v>
      </x:c>
      <x:c r="N99" s="27" t="str">
        <x:v>全书最值得研究的“交付与真经质量”章节。</x:v>
      </x:c>
    </x:row>
    <x:row r="100" ht="48" customHeight="1">
      <x:c r="A100" s="27" t="n">
        <x:v>99</x:v>
      </x:c>
      <x:c r="B100" s="27" t="str">
        <x:v>九九数完魔刬尽 三三行满道归根</x:v>
      </x:c>
      <x:c r="C100" s="27" t="str">
        <x:v>九九归真/补足一难</x:v>
      </x:c>
      <x:c r="D100" s="27" t="str">
        <x:v>观音检点难数，发现尚缺一难；师徒归途中在通天河老鼋处落水，经卷受湿，九九八十一难方告圆满。</x:v>
      </x:c>
      <x:c r="E100" s="27" t="str">
        <x:v>唐僧、孙悟空、猪八戒、沙僧、白龙马、观音、老鼋、揭谛</x:v>
      </x:c>
      <x:c r="F100" s="27" t="str">
        <x:v>灵山返回路、通天河</x:v>
      </x:c>
      <x:c r="G100" s="27" t="str">
        <x:v>九九八十一、补难、老鼋、湿经、归根</x:v>
      </x:c>
      <x:c r="H100" s="27" t="str">
        <x:v>修行不是到达即结束，最后还要补足缺口，接受回程中的再考验。</x:v>
      </x:c>
      <x:c r="I100" s="27" t="str">
        <x:v>项目闭环不只看验收节点，还要看回传、交付、复核与遗留问题。</x:v>
      </x:c>
      <x:c r="J100" s="27" t="str">
        <x:v>临门一脚最容易松懈；真正圆满要经得起回程和复盘。</x:v>
      </x:c>
      <x:c r="K100" s="27" t="str">
        <x:v>观音检点难数、老鼋落水、经卷受湿、晒经相关场景</x:v>
      </x:c>
      <x:c r="L100" s="27" t="str">
        <x:v>待校核原文</x:v>
      </x:c>
      <x:c r="M100" s="27" t="str">
        <x:v>https://zh.wikisource.org/wiki/西游记/第九十九回</x:v>
      </x:c>
      <x:c r="N100" s="27" t="str">
        <x:v>可作为八十一难正式校核重点。</x:v>
      </x:c>
    </x:row>
    <x:row r="101" ht="48" customHeight="1">
      <x:c r="A101" s="27" t="n">
        <x:v>100</x:v>
      </x:c>
      <x:c r="B101" s="27" t="str">
        <x:v>径回东土 五圣成真</x:v>
      </x:c>
      <x:c r="C101" s="27" t="str">
        <x:v>东土回传/功德圆满</x:v>
      </x:c>
      <x:c r="D101" s="27" t="str">
        <x:v>师徒回到长安，唐太宗迎接真经；功德圆满后五圣受封，孙悟空紧箍自消，取经工程完成。</x:v>
      </x:c>
      <x:c r="E101" s="27" t="str">
        <x:v>唐僧、孙悟空、猪八戒、沙僧、白龙马、唐太宗、如来</x:v>
      </x:c>
      <x:c r="F101" s="27" t="str">
        <x:v>长安、大唐、灵山</x:v>
      </x:c>
      <x:c r="G101" s="27" t="str">
        <x:v>回传、成真、封号、功德、紧箍自消</x:v>
      </x:c>
      <x:c r="H101" s="27" t="str">
        <x:v>成真不是逃离人间，而是完成使命、返回原点，并在制度与心性上重新命名。</x:v>
      </x:c>
      <x:c r="I101" s="27" t="str">
        <x:v>重大项目最终要完成成果回传、制度确认、角色评价与经验沉淀。</x:v>
      </x:c>
      <x:c r="J101" s="27" t="str">
        <x:v>外在约束终会转为内在自觉；真正的圆满是使命、身份与心性同时归位。</x:v>
      </x:c>
      <x:c r="K101" s="27" t="str">
        <x:v>回到长安、唐太宗迎经、五圣封号、紧箍自消场景</x:v>
      </x:c>
      <x:c r="L101" s="27" t="str">
        <x:v>待校核原文</x:v>
      </x:c>
      <x:c r="M101" s="27" t="str">
        <x:v>https://zh.wikisource.org/wiki/西游记/第一百回</x:v>
      </x:c>
      <x:c r="N101" s="27" t="str">
        <x:v>全书收束，可作为《再读西游》总论结尾。</x:v>
      </x:c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4" hidden="0" customWidth="1"/>
    <x:col min="5" max="5" width="34" hidden="0" customWidth="1"/>
    <x:col min="6" max="6" width="28" hidden="0" customWidth="1"/>
    <x:col min="7" max="7" width="24" hidden="0" customWidth="1"/>
    <x:col min="8" max="8" width="34" hidden="0" customWidth="1"/>
    <x:col min="9" max="9" width="34" hidden="0" customWidth="1"/>
    <x:col min="10" max="10" width="14" hidden="0" customWidth="1"/>
    <x:col min="11" max="11" width="12" hidden="0" customWidth="1"/>
    <x:col min="12" max="12" width="32" hidden="0" customWidth="1"/>
    <x:col min="13" max="13" width="28" hidden="0" customWidth="1"/>
    <x:col min="14" max="14" width="24" hidden="0" customWidth="1"/>
  </x:cols>
  <x:sheetData>
    <x:row r="1" ht="15" hidden="0" customHeight="1">
      <x:c r="A1" s="19" t="str">
        <x:v>编号</x:v>
      </x:c>
      <x:c r="B1" s="19" t="str">
        <x:v>性质</x:v>
      </x:c>
      <x:c r="C1" s="19" t="str">
        <x:v>对应回次</x:v>
      </x:c>
      <x:c r="D1" s="19" t="str">
        <x:v>地点/场景</x:v>
      </x:c>
      <x:c r="E1" s="19" t="str">
        <x:v>阻碍/事件</x:v>
      </x:c>
      <x:c r="F1" s="19" t="str">
        <x:v>主要关联人物</x:v>
      </x:c>
      <x:c r="G1" s="19" t="str">
        <x:v>问题类型</x:v>
      </x:c>
      <x:c r="H1" s="19" t="str">
        <x:v>解决方式</x:v>
      </x:c>
      <x:c r="I1" s="19" t="str">
        <x:v>象征意义</x:v>
      </x:c>
      <x:c r="J1" s="19" t="str">
        <x:v>是否正式八十一难</x:v>
      </x:c>
      <x:c r="K1" s="19" t="str">
        <x:v>证据状态</x:v>
      </x:c>
      <x:c r="L1" s="19" t="str">
        <x:v>来源URL</x:v>
      </x:c>
      <x:c r="M1" s="19" t="str">
        <x:v>备注</x:v>
      </x:c>
      <x:c r="N1" s="19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52.79999923706055" hidden="0" customHeight="1">
      <x:c r="A2" s="27" t="str">
        <x:v>P01</x:v>
      </x:c>
      <x:c r="B2" s="27" t="str">
        <x:v>前传关节点</x:v>
      </x:c>
      <x:c r="C2" s="27" t="str">
        <x:v>第1回</x:v>
      </x:c>
      <x:c r="D2" s="27" t="str">
        <x:v>花果山/水帘洞</x:v>
      </x:c>
      <x:c r="E2" s="27" t="str">
        <x:v>石猴由自在生命转向求道生命</x:v>
      </x:c>
      <x:c r="F2" s="27" t="str">
        <x:v>石猴、美猴王</x:v>
      </x:c>
      <x:c r="G2" s="27" t="str">
        <x:v>生死觉醒</x:v>
      </x:c>
      <x:c r="H2" s="27" t="str">
        <x:v>远游求师</x:v>
      </x:c>
      <x:c r="I2" s="27" t="str">
        <x:v>取经之前先有生命意义的觉醒。</x:v>
      </x:c>
      <x:c r="J2" s="27" t="str">
        <x:v>否</x:v>
      </x:c>
      <x:c r="K2" s="27" t="str">
        <x:v>待校核原文</x:v>
      </x:c>
      <x:c r="L2" s="27" t="str">
        <x:v>https://zh.wikisource.org/wiki/%E8%A5%BF%E9%81%8A%E8%A8%98/%E7%AC%AC%E4%B8%80%E5%9B%9E</x:v>
      </x:c>
      <x:c r="M2" s="27" t="str">
        <x:v>不列入正式八十一难。</x:v>
      </x:c>
      <x:c r="N2" s="27"/>
    </x:row>
    <x:row r="3" ht="52.79999923706055" hidden="0" customHeight="1">
      <x:c r="A3" s="27" t="str">
        <x:v>P02</x:v>
      </x:c>
      <x:c r="B3" s="27" t="str">
        <x:v>前传关节点</x:v>
      </x:c>
      <x:c r="C3" s="27" t="str">
        <x:v>第2回</x:v>
      </x:c>
      <x:c r="D3" s="27" t="str">
        <x:v>灵台方寸山</x:v>
      </x:c>
      <x:c r="E3" s="27" t="str">
        <x:v>得法后因卖弄被祖师逐回</x:v>
      </x:c>
      <x:c r="F3" s="27" t="str">
        <x:v>孙悟空、菩提祖师</x:v>
      </x:c>
      <x:c r="G3" s="27" t="str">
        <x:v>能力边界</x:v>
      </x:c>
      <x:c r="H3" s="27" t="str">
        <x:v>离师返山</x:v>
      </x:c>
      <x:c r="I3" s="27" t="str">
        <x:v>有能力必须有戒律，失边界则生后患。</x:v>
      </x:c>
      <x:c r="J3" s="27" t="str">
        <x:v>否</x:v>
      </x:c>
      <x:c r="K3" s="27" t="str">
        <x:v>待校核原文</x:v>
      </x:c>
      <x:c r="L3" s="27" t="str">
        <x:v>https://zh.wikisource.org/wiki/%E8%A5%BF%E9%81%8A%E8%A8%98/%E7%AC%AC%E4%BA%8C%E5%9B%9E</x:v>
      </x:c>
      <x:c r="M3" s="27" t="str">
        <x:v>可作为“紧箍咒”之前的内在戒律伏笔。</x:v>
      </x:c>
      <x:c r="N3" s="27"/>
    </x:row>
    <x:row r="4" ht="52.79999923706055" hidden="0" customHeight="1">
      <x:c r="A4" s="27" t="str">
        <x:v>P03</x:v>
      </x:c>
      <x:c r="B4" s="27" t="str">
        <x:v>前传关节点</x:v>
      </x:c>
      <x:c r="C4" s="27" t="str">
        <x:v>第3回</x:v>
      </x:c>
      <x:c r="D4" s="27" t="str">
        <x:v>龙宫/地府</x:v>
      </x:c>
      <x:c r="E4" s="27" t="str">
        <x:v>夺宝与销名，挑战多重秩序</x:v>
      </x:c>
      <x:c r="F4" s="27" t="str">
        <x:v>孙悟空、龙王、阎王</x:v>
      </x:c>
      <x:c r="G4" s="27" t="str">
        <x:v>越界扩张</x:v>
      </x:c>
      <x:c r="H4" s="27" t="str">
        <x:v>凭神通压服</x:v>
      </x:c>
      <x:c r="I4" s="27" t="str">
        <x:v>能力膨胀冲击制度边界。</x:v>
      </x:c>
      <x:c r="J4" s="27" t="str">
        <x:v>否</x:v>
      </x:c>
      <x:c r="K4" s="27" t="str">
        <x:v>待校核原文</x:v>
      </x:c>
      <x:c r="L4" s="27" t="str">
        <x:v>https://zh.wikisource.org/wiki/%E8%A5%BF%E9%81%8A%E8%A8%98/%E7%AC%AC%E4%B8%89%E5%9B%9E</x:v>
      </x:c>
      <x:c r="M4" s="27" t="str">
        <x:v>后续研究要区分“事件节点”和“正式灾难”。</x:v>
      </x:c>
      <x:c r="N4" s="27"/>
    </x:row>
    <x:row r="5" ht="52.79999923706055" hidden="0" customHeight="1">
      <x:c r="A5" s="27" t="str">
        <x:v>P04</x:v>
      </x:c>
      <x:c r="B5" s="27" t="str">
        <x:v>前传关节点</x:v>
      </x:c>
      <x:c r="C5" s="27" t="str">
        <x:v>第4回</x:v>
      </x:c>
      <x:c r="D5" s="27" t="str">
        <x:v>天庭/花果山</x:v>
      </x:c>
      <x:c r="E5" s="27" t="str">
        <x:v>弼马温名位冲突导致反下天宫</x:v>
      </x:c>
      <x:c r="F5" s="27" t="str">
        <x:v>孙悟空、玉帝、太白金星</x:v>
      </x:c>
      <x:c r="G5" s="27" t="str">
        <x:v>身份与名分</x:v>
      </x:c>
      <x:c r="H5" s="27" t="str">
        <x:v>自立齐天大圣</x:v>
      </x:c>
      <x:c r="I5" s="27" t="str">
        <x:v>自我评价与组织任命冲突。</x:v>
      </x:c>
      <x:c r="J5" s="27" t="str">
        <x:v>否</x:v>
      </x:c>
      <x:c r="K5" s="27" t="str">
        <x:v>待校核原文</x:v>
      </x:c>
      <x:c r="L5" s="27" t="str">
        <x:v>https://zh.wikisource.org/wiki/%E8%A5%BF%E9%81%8A%E8%A8%98/%E7%AC%AC%E5%9B%9B%E5%9B%9E</x:v>
      </x:c>
      <x:c r="M5" s="27" t="str">
        <x:v>适合纳入组织管理专题。</x:v>
      </x:c>
      <x:c r="N5" s="27"/>
    </x:row>
    <x:row r="6" ht="52.79999923706055" hidden="0" customHeight="1">
      <x:c r="A6" s="27" t="str">
        <x:v>P05</x:v>
      </x:c>
      <x:c r="B6" s="27" t="str">
        <x:v>前传关节点</x:v>
      </x:c>
      <x:c r="C6" s="27" t="str">
        <x:v>第5回</x:v>
      </x:c>
      <x:c r="D6" s="27" t="str">
        <x:v>蟠桃园/瑶池/兜率宫</x:v>
      </x:c>
      <x:c r="E6" s="27" t="str">
        <x:v>偷桃偷酒偷丹并搅乱蟠桃会</x:v>
      </x:c>
      <x:c r="F6" s="27" t="str">
        <x:v>孙悟空、王母、太上老君</x:v>
      </x:c>
      <x:c r="G6" s="27" t="str">
        <x:v>欲望与排斥</x:v>
      </x:c>
      <x:c r="H6" s="27" t="str">
        <x:v>天庭围剿</x:v>
      </x:c>
      <x:c r="I6" s="27" t="str">
        <x:v>被排除感激发破坏性反叛。</x:v>
      </x:c>
      <x:c r="J6" s="27" t="str">
        <x:v>否</x:v>
      </x:c>
      <x:c r="K6" s="27" t="str">
        <x:v>待校核原文</x:v>
      </x:c>
      <x:c r="L6" s="27" t="str">
        <x:v>https://zh.wikisource.org/wiki/%E8%A5%BF%E9%81%8A%E8%A8%98/%E7%AC%AC%E4%BA%94%E5%9B%9E</x:v>
      </x:c>
      <x:c r="M6" s="27" t="str">
        <x:v>不是取经灾难，但构成孙悟空被规训的前史。</x:v>
      </x:c>
      <x:c r="N6" s="27"/>
    </x:row>
    <x:row r="7" ht="52.79999923706055" hidden="0" customHeight="1">
      <x:c r="A7" s="27" t="str">
        <x:v>P06</x:v>
      </x:c>
      <x:c r="B7" s="27" t="str">
        <x:v>前传关节点</x:v>
      </x:c>
      <x:c r="C7" s="27" t="str">
        <x:v>第6回</x:v>
      </x:c>
      <x:c r="D7" s="27" t="str">
        <x:v>花果山战场</x:v>
      </x:c>
      <x:c r="E7" s="27" t="str">
        <x:v>二郎神与诸神协同降伏大圣</x:v>
      </x:c>
      <x:c r="F7" s="27" t="str">
        <x:v>孙悟空、二郎神、观音、太上老君</x:v>
      </x:c>
      <x:c r="G7" s="27" t="str">
        <x:v>个人能力与系统协同</x:v>
      </x:c>
      <x:c r="H7" s="27" t="str">
        <x:v>联合镇压</x:v>
      </x:c>
      <x:c r="I7" s="27" t="str">
        <x:v>个人英雄不能无限对抗系统力量。</x:v>
      </x:c>
      <x:c r="J7" s="27" t="str">
        <x:v>否</x:v>
      </x:c>
      <x:c r="K7" s="27" t="str">
        <x:v>待校核原文</x:v>
      </x:c>
      <x:c r="L7" s="27" t="str">
        <x:v>https://zh.wikisource.org/wiki/%E8%A5%BF%E9%81%8A%E8%A8%98/%E7%AC%AC%E5%85%AD%E5%9B%9E</x:v>
      </x:c>
      <x:c r="M7" s="27" t="str">
        <x:v>可作为“天庭治理”专题样例。</x:v>
      </x:c>
      <x:c r="N7" s="27"/>
    </x:row>
    <x:row r="8" ht="52.79999923706055" hidden="0" customHeight="1">
      <x:c r="A8" s="27" t="str">
        <x:v>P07</x:v>
      </x:c>
      <x:c r="B8" s="27" t="str">
        <x:v>前传关节点</x:v>
      </x:c>
      <x:c r="C8" s="27" t="str">
        <x:v>第7回</x:v>
      </x:c>
      <x:c r="D8" s="27" t="str">
        <x:v>八卦炉/五行山</x:v>
      </x:c>
      <x:c r="E8" s="27" t="str">
        <x:v>八卦炉后再闹天宫，终被如来压山</x:v>
      </x:c>
      <x:c r="F8" s="27" t="str">
        <x:v>孙悟空、如来、太上老君</x:v>
      </x:c>
      <x:c r="G8" s="27" t="str">
        <x:v>心猿难定</x:v>
      </x:c>
      <x:c r="H8" s="27" t="str">
        <x:v>如来压伏</x:v>
      </x:c>
      <x:c r="I8" s="27" t="str">
        <x:v>心猿被定，取经护法的可能性开始出现。</x:v>
      </x:c>
      <x:c r="J8" s="27" t="str">
        <x:v>否</x:v>
      </x:c>
      <x:c r="K8" s="27" t="str">
        <x:v>待校核原文</x:v>
      </x:c>
      <x:c r="L8" s="27" t="str">
        <x:v>https://zh.wikisource.org/wiki/%E8%A5%BF%E9%81%8A%E8%A8%98/%E7%AC%AC%E4%B8%83%E5%9B%9E</x:v>
      </x:c>
      <x:c r="M8" s="27" t="str">
        <x:v>正式八十一难建议从取经线索展开后另行编号。</x:v>
      </x:c>
      <x:c r="N8" s="27"/>
    </x:row>
    <x:row r="9" ht="26.399999618530273" hidden="0" customHeight="1">
      <x:c r="A9" s="27" t="str">
        <x:v>N001</x:v>
      </x:c>
      <x:c r="B9" s="27" t="str">
        <x:v>正式难模板</x:v>
      </x:c>
      <x:c r="C9" s="27" t="str">
        <x:v>待填</x:v>
      </x:c>
      <x:c r="D9" s="27" t="str">
        <x:v>待填</x:v>
      </x:c>
      <x:c r="E9" s="27" t="str">
        <x:v>待填</x:v>
      </x:c>
      <x:c r="F9" s="27" t="str">
        <x:v>待填</x:v>
      </x:c>
      <x:c r="G9" s="27" t="str">
        <x:v>身体难/欲望难/信任难/制度难/心魔难/外部妖魔难</x:v>
      </x:c>
      <x:c r="H9" s="27" t="str">
        <x:v>待填</x:v>
      </x:c>
      <x:c r="I9" s="27" t="str">
        <x:v>待填</x:v>
      </x:c>
      <x:c r="J9" s="27" t="str">
        <x:v>是</x:v>
      </x:c>
      <x:c r="K9" s="27" t="str">
        <x:v>待抽取</x:v>
      </x:c>
      <x:c r="L9" s="27" t="str">
        <x:v>待填</x:v>
      </x:c>
      <x:c r="M9" s="27" t="str">
        <x:v>从第13/14回后按取经线索逐步补齐。</x:v>
      </x:c>
      <x:c r="N9" s="27"/>
    </x:row>
    <x:row r="10" ht="52.79999923706055" hidden="0" customHeight="1">
      <x:c r="A10" s="27" t="str">
        <x:v>T01</x:v>
      </x:c>
      <x:c r="B10" s="27" t="str">
        <x:v>任务生成节点</x:v>
      </x:c>
      <x:c r="C10" s="27" t="str">
        <x:v>第8回</x:v>
      </x:c>
      <x:c r="D10" s="27" t="str">
        <x:v>灵山—长安路线</x:v>
      </x:c>
      <x:c r="E10" s="27" t="str">
        <x:v>观音奉旨寻取经人并预设护法</x:v>
      </x:c>
      <x:c r="F10" s="27" t="str">
        <x:v>如来、观音、沙僧、八戒、小白龙、悟空</x:v>
      </x:c>
      <x:c r="G10" s="27" t="str">
        <x:v>使命/组织生成</x:v>
      </x:c>
      <x:c r="H10" s="27" t="str">
        <x:v>高层授权与沿途点化</x:v>
      </x:c>
      <x:c r="I10" s="27" t="str">
        <x:v>取经不是偶发游历，而是有组织的修行工程。</x:v>
      </x:c>
      <x:c r="J10" s="27" t="str">
        <x:v>否</x:v>
      </x:c>
      <x:c r="K10" s="27" t="str">
        <x:v>待校核原文</x:v>
      </x:c>
      <x:c r="L10" s="27" t="str">
        <x:v>https://zh.wikisource.org/wiki/%E8%A5%BF%E9%81%8A%E8%A8%98/%E7%AC%AC%E5%85%AB%E5%9B%9E</x:v>
      </x:c>
      <x:c r="M10" s="27" t="str">
        <x:v>任务生成节点，不列入正式八十一难。</x:v>
      </x:c>
      <x:c r="N10" s="27"/>
    </x:row>
    <x:row r="11" ht="52.79999923706055" hidden="0" customHeight="1">
      <x:c r="A11" s="27" t="str">
        <x:v>T02</x:v>
      </x:c>
      <x:c r="B11" s="27" t="str">
        <x:v>身世因果节点</x:v>
      </x:c>
      <x:c r="C11" s="27" t="str">
        <x:v>第9回</x:v>
      </x:c>
      <x:c r="D11" s="27" t="str">
        <x:v>江州/金山寺</x:v>
      </x:c>
      <x:c r="E11" s="27" t="str">
        <x:v>唐僧身世灾变与报本复仇</x:v>
      </x:c>
      <x:c r="F11" s="27" t="str">
        <x:v>陈光蕊、殷温娇、刘洪、玄奘</x:v>
      </x:c>
      <x:c r="G11" s="27" t="str">
        <x:v>亲缘/因果</x:v>
      </x:c>
      <x:c r="H11" s="27" t="str">
        <x:v>寻亲、申冤、复仇</x:v>
      </x:c>
      <x:c r="I11" s="27" t="str">
        <x:v>取经人先有个人因果，再承接公共使命。</x:v>
      </x:c>
      <x:c r="J11" s="27" t="str">
        <x:v>候选/待校核</x:v>
      </x:c>
      <x:c r="K11" s="27" t="str">
        <x:v>待校核原文</x:v>
      </x:c>
      <x:c r="L11" s="27" t="str">
        <x:v>https://zh.wikisource.org/wiki/%E8%A5%BF%E9%81%8A%E8%A8%98/%E7%AC%AC%E4%B9%9D%E5%9B%9E</x:v>
      </x:c>
      <x:c r="M11" s="27" t="str">
        <x:v>部分八十一难清单将唐僧身世列入早期难次，需对照校注本。</x:v>
      </x:c>
      <x:c r="N11" s="27"/>
    </x:row>
    <x:row r="12" ht="52.79999923706055" hidden="0" customHeight="1">
      <x:c r="A12" s="27" t="str">
        <x:v>T03</x:v>
      </x:c>
      <x:c r="B12" s="27" t="str">
        <x:v>水陆大会动因</x:v>
      </x:c>
      <x:c r="C12" s="27" t="str">
        <x:v>第10-11回</x:v>
      </x:c>
      <x:c r="D12" s="27" t="str">
        <x:v>长安/地府</x:v>
      </x:c>
      <x:c r="E12" s="27" t="str">
        <x:v>泾河龙王犯天条，唐太宗入冥还魂</x:v>
      </x:c>
      <x:c r="F12" s="27" t="str">
        <x:v>泾河龙王、魏征、唐太宗、十殿阎王</x:v>
      </x:c>
      <x:c r="G12" s="27" t="str">
        <x:v>制度/生死</x:v>
      </x:c>
      <x:c r="H12" s="27" t="str">
        <x:v>依法斩龙、地府还魂、发愿修会</x:v>
      </x:c>
      <x:c r="I12" s="27" t="str">
        <x:v>天条、冥府、人间政治共同促成取经需求。</x:v>
      </x:c>
      <x:c r="J12" s="27" t="str">
        <x:v>否/背景因</x:v>
      </x:c>
      <x:c r="K12" s="27" t="str">
        <x:v>待校核原文</x:v>
      </x:c>
      <x:c r="L12" s="27" t="str">
        <x:v>https://zh.wikisource.org/wiki/%E8%A5%BF%E9%81%8A%E8%A8%98/%E7%AC%AC%E5%8D%81%E5%9B%9E</x:v>
      </x:c>
      <x:c r="M12" s="27" t="str">
        <x:v>与第11回合并理解；是取经缘起背景。</x:v>
      </x:c>
      <x:c r="N12" s="27"/>
    </x:row>
    <x:row r="13" ht="66" hidden="0" customHeight="1">
      <x:c r="A13" s="27" t="str">
        <x:v>T04</x:v>
      </x:c>
      <x:c r="B13" s="27" t="str">
        <x:v>取经立项节点</x:v>
      </x:c>
      <x:c r="C13" s="27" t="str">
        <x:v>第12回</x:v>
      </x:c>
      <x:c r="D13" s="27" t="str">
        <x:v>长安水陆大会</x:v>
      </x:c>
      <x:c r="E13" s="27" t="str">
        <x:v>观音显圣，玄奘受命西行</x:v>
      </x:c>
      <x:c r="F13" s="27" t="str">
        <x:v>唐太宗、唐僧、观音</x:v>
      </x:c>
      <x:c r="G13" s="27" t="str">
        <x:v>使命/授权</x:v>
      </x:c>
      <x:c r="H13" s="27" t="str">
        <x:v>公开仪式、君王授权、个人发愿</x:v>
      </x:c>
      <x:c r="I13" s="27" t="str">
        <x:v>取经任务完成合法性落地。</x:v>
      </x:c>
      <x:c r="J13" s="27" t="str">
        <x:v>否</x:v>
      </x:c>
      <x:c r="K13" s="27" t="str">
        <x:v>待校核原文</x:v>
      </x:c>
      <x:c r="L13" s="27" t="str">
        <x:v>https://zh.wikisource.org/wiki/%E8%A5%BF%E9%81%8A%E8%A8%98/%E7%AC%AC%E5%8D%81%E4%BA%8C%E5%9B%9E</x:v>
      </x:c>
      <x:c r="M13" s="27" t="str">
        <x:v>立项节点，不列入灾难。</x:v>
      </x:c>
      <x:c r="N13" s="27"/>
    </x:row>
    <x:row r="14" ht="66" hidden="0" customHeight="1">
      <x:c r="A14" s="27" t="str">
        <x:v>N001</x:v>
      </x:c>
      <x:c r="B14" s="27" t="str">
        <x:v>正式难候选</x:v>
      </x:c>
      <x:c r="C14" s="27" t="str">
        <x:v>第13回</x:v>
      </x:c>
      <x:c r="D14" s="27" t="str">
        <x:v>双叉岭/虎穴</x:v>
      </x:c>
      <x:c r="E14" s="27" t="str">
        <x:v>唐僧初出长安即遇妖魔，随从遇害</x:v>
      </x:c>
      <x:c r="F14" s="27" t="str">
        <x:v>唐僧、寅将军、熊山君、特处士、太白金星</x:v>
      </x:c>
      <x:c r="G14" s="27" t="str">
        <x:v>身体难/外部妖魔难</x:v>
      </x:c>
      <x:c r="H14" s="27" t="str">
        <x:v>太白金星解厄，刘伯钦接应</x:v>
      </x:c>
      <x:c r="I14" s="27" t="str">
        <x:v>理想落地首先遭遇生存风险。</x:v>
      </x:c>
      <x:c r="J14" s="27" t="str">
        <x:v>是/待校核</x:v>
      </x:c>
      <x:c r="K14" s="27" t="str">
        <x:v>待校核原文</x:v>
      </x:c>
      <x:c r="L14" s="27" t="str">
        <x:v>https://zh.wikisource.org/wiki/%E8%A5%BF%E9%81%8A%E8%A8%98/%E7%AC%AC%E5%8D%81%E4%B8%89%E5%9B%9E</x:v>
      </x:c>
      <x:c r="M14" s="27" t="str">
        <x:v>建议作为正式取经灾厄开端候选，需与八十一难通行清单核对。</x:v>
      </x:c>
      <x:c r="N14" s="27"/>
    </x:row>
    <x:row r="15" ht="66" hidden="0" customHeight="1">
      <x:c r="A15" s="27" t="str">
        <x:v>N002</x:v>
      </x:c>
      <x:c r="B15" s="27" t="str">
        <x:v>正式难候选</x:v>
      </x:c>
      <x:c r="C15" s="27" t="str">
        <x:v>第14回</x:v>
      </x:c>
      <x:c r="D15" s="27" t="str">
        <x:v>五行山/两界山</x:v>
      </x:c>
      <x:c r="E15" s="27" t="str">
        <x:v>救出孙悟空后师徒磨合，六贼事件引发冲突</x:v>
      </x:c>
      <x:c r="F15" s="27" t="str">
        <x:v>唐僧、孙悟空、六贼、观音</x:v>
      </x:c>
      <x:c r="G15" s="27" t="str">
        <x:v>信任难/规训难/心魔难</x:v>
      </x:c>
      <x:c r="H15" s="27" t="str">
        <x:v>紧箍咒设定边界，悟空归正</x:v>
      </x:c>
      <x:c r="I15" s="27" t="str">
        <x:v>取经团队的第一道内在难题是高能力者的归正。</x:v>
      </x:c>
      <x:c r="J15" s="27" t="str">
        <x:v>是/待校核</x:v>
      </x:c>
      <x:c r="K15" s="27" t="str">
        <x:v>待校核原文</x:v>
      </x:c>
      <x:c r="L15" s="27" t="str">
        <x:v>https://zh.wikisource.org/wiki/%E8%A5%BF%E9%81%8A%E8%A8%98/%E7%AC%AC%E5%8D%81%E5%9B%9B%E5%9B%9E</x:v>
      </x:c>
      <x:c r="M15" s="27" t="str">
        <x:v>六贼可作外部盗贼与内在六根象征双读。</x:v>
      </x:c>
      <x:c r="N15" s="27"/>
    </x:row>
    <x:row r="16" ht="26.399999618530273" hidden="0" customHeight="1">
      <x:c r="A16" s="27" t="str">
        <x:v>T06</x:v>
      </x:c>
      <x:c r="B16" s="27" t="str">
        <x:v>正式难候选</x:v>
      </x:c>
      <x:c r="C16" s="27" t="str">
        <x:v>第15回</x:v>
      </x:c>
      <x:c r="D16" s="27" t="str">
        <x:v>蛇盘山/鹰愁涧</x:v>
      </x:c>
      <x:c r="E16" s="27" t="str">
        <x:v>坐骑被小白龙吞食，取经行进受阻。</x:v>
      </x:c>
      <x:c r="F16" s="27" t="str">
        <x:v>唐僧、孙悟空、小白龙、观音</x:v>
      </x:c>
      <x:c r="G16" s="27" t="str">
        <x:v>交通/承载系统中断</x:v>
      </x:c>
      <x:c r="H16" s="27" t="str">
        <x:v>观音点化小白龙化马护送</x:v>
      </x:c>
      <x:c r="I16" s="27" t="str">
        <x:v>意马收缰，奔突之力转为长期承载。</x:v>
      </x:c>
      <x:c r="J16" s="27" t="str">
        <x:v>待校核</x:v>
      </x:c>
      <x:c r="K16" s="27" t="str">
        <x:v>待与通行八十一难清单对照</x:v>
      </x:c>
      <x:c r="L16" s="27" t="str">
        <x:v>https://zh.wikisource.org/wiki/西游记/第十五回</x:v>
      </x:c>
      <x:c r="M16" s="27" t="str">
        <x:v>可列为白龙马归队之难。</x:v>
      </x:c>
      <x:c r="N16" s="27"/>
    </x:row>
    <x:row r="17" ht="26.399999618530273" hidden="0" customHeight="1">
      <x:c r="A17" s="27" t="str">
        <x:v>T07</x:v>
      </x:c>
      <x:c r="B17" s="27" t="str">
        <x:v>正式难候选</x:v>
      </x:c>
      <x:c r="C17" s="27" t="str">
        <x:v>第16—17回</x:v>
      </x:c>
      <x:c r="D17" s="27" t="str">
        <x:v>观音院/黑风山</x:v>
      </x:c>
      <x:c r="E17" s="27" t="str">
        <x:v>袈裟引发贪念、火灾与黑熊精盗宝。</x:v>
      </x:c>
      <x:c r="F17" s="27" t="str">
        <x:v>唐僧、孙悟空、金池长老、黑熊精、观音</x:v>
      </x:c>
      <x:c r="G17" s="27" t="str">
        <x:v>贪欲/信任/资产风险</x:v>
      </x:c>
      <x:c r="H17" s="27" t="str">
        <x:v>悟空请观音收伏黑熊精</x:v>
      </x:c>
      <x:c r="I17" s="27" t="str">
        <x:v>外物名相引动贪念，须以制度与智慧收束。</x:v>
      </x:c>
      <x:c r="J17" s="27" t="str">
        <x:v>待校核</x:v>
      </x:c>
      <x:c r="K17" s="27" t="str">
        <x:v>待与通行八十一难清单对照</x:v>
      </x:c>
      <x:c r="L17" s="27" t="str">
        <x:v>https://zh.wikisource.org/wiki/西游记/第十六回</x:v>
      </x:c>
      <x:c r="M17" s="27" t="str">
        <x:v>可拆分观音院火灾与黑风山袈裟难。</x:v>
      </x:c>
      <x:c r="N17" s="27"/>
    </x:row>
    <x:row r="18" ht="26.399999618530273" hidden="0" customHeight="1">
      <x:c r="A18" s="27" t="str">
        <x:v>T08</x:v>
      </x:c>
      <x:c r="B18" s="27" t="str">
        <x:v>正式难候选</x:v>
      </x:c>
      <x:c r="C18" s="27" t="str">
        <x:v>第18—19回</x:v>
      </x:c>
      <x:c r="D18" s="27" t="str">
        <x:v>高老庄/云栈洞</x:v>
      </x:c>
      <x:c r="E18" s="27" t="str">
        <x:v>猪刚鬣招亲作乱，团队须降伏并吸纳新成员。</x:v>
      </x:c>
      <x:c r="F18" s="27" t="str">
        <x:v>唐僧、孙悟空、猪八戒、高太公</x:v>
      </x:c>
      <x:c r="G18" s="27" t="str">
        <x:v>欲望/家庭牵挂/团队扩编</x:v>
      </x:c>
      <x:c r="H18" s="27" t="str">
        <x:v>悟空降伏，观音法旨归队</x:v>
      </x:c>
      <x:c r="I18" s="27" t="str">
        <x:v>欲望之身转入使命之身。</x:v>
      </x:c>
      <x:c r="J18" s="27" t="str">
        <x:v>待校核</x:v>
      </x:c>
      <x:c r="K18" s="27" t="str">
        <x:v>待与通行八十一难清单对照</x:v>
      </x:c>
      <x:c r="L18" s="27" t="str">
        <x:v>https://zh.wikisource.org/wiki/西游记/第十八回</x:v>
      </x:c>
      <x:c r="M18" s="27" t="str">
        <x:v>既是磨难，也是关键队员招募。</x:v>
      </x:c>
      <x:c r="N18" s="27"/>
    </x:row>
    <x:row r="19" ht="26.399999618530273" hidden="0" customHeight="1">
      <x:c r="A19" s="27" t="str">
        <x:v>T09</x:v>
      </x:c>
      <x:c r="B19" s="27" t="str">
        <x:v>正式难候选</x:v>
      </x:c>
      <x:c r="C19" s="27" t="str">
        <x:v>第20—21回</x:v>
      </x:c>
      <x:c r="D19" s="27" t="str">
        <x:v>黄风岭</x:v>
      </x:c>
      <x:c r="E19" s="27" t="str">
        <x:v>唐僧被黄风怪摄去，悟空受风障影响。</x:v>
      </x:c>
      <x:c r="F19" s="27" t="str">
        <x:v>唐僧、孙悟空、猪八戒、黄风怪、灵吉菩萨</x:v>
      </x:c>
      <x:c r="G19" s="27" t="str">
        <x:v>自然力/法术克制/外部风险</x:v>
      </x:c>
      <x:c r="H19" s="27" t="str">
        <x:v>请灵吉菩萨以定风法宝降伏</x:v>
      </x:c>
      <x:c r="I19" s="27" t="str">
        <x:v>承认边界、借助外部专家资源。</x:v>
      </x:c>
      <x:c r="J19" s="27" t="str">
        <x:v>待校核</x:v>
      </x:c>
      <x:c r="K19" s="27" t="str">
        <x:v>待与通行八十一难清单对照</x:v>
      </x:c>
      <x:c r="L19" s="27" t="str">
        <x:v>https://zh.wikisource.org/wiki/西游记/第二十回</x:v>
      </x:c>
      <x:c r="M19" s="27" t="str">
        <x:v>可作为团队成型后第一次重大协同风险。</x:v>
      </x:c>
      <x:c r="N19" s="27"/>
    </x:row>
    <x:row r="20" ht="26.399999618530273" hidden="0" customHeight="1">
      <x:c r="A20" s="27" t="str">
        <x:v>T10</x:v>
      </x:c>
      <x:c r="B20" s="27" t="str">
        <x:v>正式难候选</x:v>
      </x:c>
      <x:c r="C20" s="27" t="str">
        <x:v>第22回</x:v>
      </x:c>
      <x:c r="D20" s="27" t="str">
        <x:v>流沙河</x:v>
      </x:c>
      <x:c r="E20" s="27" t="str">
        <x:v>流沙河阻路，沙悟净与取经人相持。</x:v>
      </x:c>
      <x:c r="F20" s="27" t="str">
        <x:v>唐僧、孙悟空、猪八戒、沙悟净、木叉</x:v>
      </x:c>
      <x:c r="G20" s="27" t="str">
        <x:v>水险/阻隔/成员归队</x:v>
      </x:c>
      <x:c r="H20" s="27" t="str">
        <x:v>木叉奉观音法旨收悟净</x:v>
      </x:c>
      <x:c r="I20" s="27" t="str">
        <x:v>沉滞之力被净化后成为稳定执行力。</x:v>
      </x:c>
      <x:c r="J20" s="27" t="str">
        <x:v>待校核</x:v>
      </x:c>
      <x:c r="K20" s="27" t="str">
        <x:v>待与通行八十一难清单对照</x:v>
      </x:c>
      <x:c r="L20" s="27" t="str">
        <x:v>https://zh.wikisource.org/wiki/西游记/第二十二回</x:v>
      </x:c>
      <x:c r="M20" s="27" t="str">
        <x:v>至此取经核心团队成型。</x:v>
      </x:c>
      <x:c r="N20" s="27"/>
    </x:row>
    <x:row r="21" ht="26.399999618530273" hidden="0" customHeight="1">
      <x:c r="A21" s="27" t="str">
        <x:v>N015</x:v>
      </x:c>
      <x:c r="B21" s="27" t="str">
        <x:v>正式难候选</x:v>
      </x:c>
      <x:c r="C21" s="27" t="str">
        <x:v>第23回</x:v>
      </x:c>
      <x:c r="D21" s="27" t="str">
        <x:v>荒野庄院</x:v>
      </x:c>
      <x:c r="E21" s="27" t="str">
        <x:v>四圣试禅心，八戒动欲受惩</x:v>
      </x:c>
      <x:c r="F21" s="27" t="str">
        <x:v>唐僧、悟空、八戒、沙僧、四圣</x:v>
      </x:c>
      <x:c r="G21" s="27" t="str">
        <x:v>戒律/欲望测试</x:v>
      </x:c>
      <x:c r="H21" s="27" t="str">
        <x:v>四圣点化，八戒受惩</x:v>
      </x:c>
      <x:c r="I21" s="27" t="str">
        <x:v>团队成型后的价值观压力测试。</x:v>
      </x:c>
      <x:c r="J21" s="27" t="str">
        <x:v>待对照</x:v>
      </x:c>
      <x:c r="K21" s="27" t="str">
        <x:v>待校核原文</x:v>
      </x:c>
      <x:c r="L21" s="27" t="str">
        <x:v>https://zh.wikisource.org/wiki/西游记/第二十三回</x:v>
      </x:c>
      <x:c r="M21" s="27" t="str">
        <x:v>是否列入正式八十一难需对照通行清单。</x:v>
      </x:c>
      <x:c r="N21" s="27"/>
    </x:row>
    <x:row r="22" ht="26.399999618530273" hidden="0" customHeight="1">
      <x:c r="A22" s="27" t="str">
        <x:v>N016</x:v>
      </x:c>
      <x:c r="B22" s="27" t="str">
        <x:v>正式难候选</x:v>
      </x:c>
      <x:c r="C22" s="27" t="str">
        <x:v>第24—26回</x:v>
      </x:c>
      <x:c r="D22" s="27" t="str">
        <x:v>万寿山五庄观</x:v>
      </x:c>
      <x:c r="E22" s="27" t="str">
        <x:v>人参果树之难：偷果、推树、追拿与救活</x:v>
      </x:c>
      <x:c r="F22" s="27" t="str">
        <x:v>悟空、八戒、镇元大仙、观音</x:v>
      </x:c>
      <x:c r="G22" s="27" t="str">
        <x:v>贪念/冲突升级/补救</x:v>
      </x:c>
      <x:c r="H22" s="27" t="str">
        <x:v>观音甘泉救树，镇元和解</x:v>
      </x:c>
      <x:c r="I22" s="27" t="str">
        <x:v>犯错、担责、修复关系的完整链条。</x:v>
      </x:c>
      <x:c r="J22" s="27" t="str">
        <x:v>待对照</x:v>
      </x:c>
      <x:c r="K22" s="27" t="str">
        <x:v>待校核原文</x:v>
      </x:c>
      <x:c r="L22" s="27" t="str">
        <x:v>https://zh.wikisource.org/wiki/西游记/第二十四回</x:v>
      </x:c>
      <x:c r="M22" s="27" t="str">
        <x:v>建议作为一个连续难处理。</x:v>
      </x:c>
      <x:c r="N22" s="27"/>
    </x:row>
    <x:row r="23" ht="26.399999618530273" hidden="0" customHeight="1">
      <x:c r="A23" s="27" t="str">
        <x:v>N017</x:v>
      </x:c>
      <x:c r="B23" s="27" t="str">
        <x:v>正式难候选</x:v>
      </x:c>
      <x:c r="C23" s="27" t="str">
        <x:v>第27回</x:v>
      </x:c>
      <x:c r="D23" s="27" t="str">
        <x:v>白虎岭</x:v>
      </x:c>
      <x:c r="E23" s="27" t="str">
        <x:v>白骨精三变诱骗，唐僧逐悟空</x:v>
      </x:c>
      <x:c r="F23" s="27" t="str">
        <x:v>唐僧、悟空、八戒、白骨精</x:v>
      </x:c>
      <x:c r="G23" s="27" t="str">
        <x:v>真假辨识/信任危机</x:v>
      </x:c>
      <x:c r="H23" s="27" t="str">
        <x:v>悟空被逐，危机暂未解除</x:v>
      </x:c>
      <x:c r="I23" s="27" t="str">
        <x:v>误判核心人才引发系统性风险。</x:v>
      </x:c>
      <x:c r="J23" s="27" t="str">
        <x:v>待对照</x:v>
      </x:c>
      <x:c r="K23" s="27" t="str">
        <x:v>待校核原文</x:v>
      </x:c>
      <x:c r="L23" s="27" t="str">
        <x:v>https://zh.wikisource.org/wiki/西游记/第二十七回</x:v>
      </x:c>
      <x:c r="M23" s="27" t="str">
        <x:v>与第28—31回构成离队后果链。</x:v>
      </x:c>
      <x:c r="N23" s="27"/>
    </x:row>
    <x:row r="24" ht="26.399999618530273" hidden="0" customHeight="1">
      <x:c r="A24" s="27" t="str">
        <x:v>N018</x:v>
      </x:c>
      <x:c r="B24" s="27" t="str">
        <x:v>正式难候选</x:v>
      </x:c>
      <x:c r="C24" s="27" t="str">
        <x:v>第28—31回</x:v>
      </x:c>
      <x:c r="D24" s="27" t="str">
        <x:v>黑松林/宝象国/波月洞</x:v>
      </x:c>
      <x:c r="E24" s="27" t="str">
        <x:v>黄袍怪与宝象国危机，悟空被请回降妖</x:v>
      </x:c>
      <x:c r="F24" s="27" t="str">
        <x:v>唐僧、八戒、沙僧、白龙马、悟空、黄袍怪</x:v>
      </x:c>
      <x:c r="G24" s="27" t="str">
        <x:v>核心能力离队/外部强敌</x:v>
      </x:c>
      <x:c r="H24" s="27" t="str">
        <x:v>八戒请回悟空，悟空智降黄袍怪</x:v>
      </x:c>
      <x:c r="I24" s="27" t="str">
        <x:v>团队通过危机重新确认心猿价值。</x:v>
      </x:c>
      <x:c r="J24" s="27" t="str">
        <x:v>待对照</x:v>
      </x:c>
      <x:c r="K24" s="27" t="str">
        <x:v>待校核原文</x:v>
      </x:c>
      <x:c r="L24" s="27" t="str">
        <x:v>https://zh.wikisource.org/wiki/西游记/第三十一回</x:v>
      </x:c>
      <x:c r="M24" s="27" t="str">
        <x:v>黄袍怪为奎木狼下凡，属于有后台妖怪。</x:v>
      </x:c>
      <x:c r="N24" s="27"/>
    </x:row>
    <x:row r="25" ht="52.79999923706055" hidden="0" customHeight="1">
      <x:c r="A25" s="27" t="str">
        <x:v>N019</x:v>
      </x:c>
      <x:c r="B25" s="27" t="str">
        <x:v>正式难候选</x:v>
      </x:c>
      <x:c r="C25" s="27" t="str">
        <x:v>第32—35回</x:v>
      </x:c>
      <x:c r="D25" s="27" t="str">
        <x:v>平顶山/莲花洞</x:v>
      </x:c>
      <x:c r="E25" s="27" t="str">
        <x:v>金角、银角凭法宝、名号规则与变化设局，困扰唐僧师徒，悟空骗宝反制，太上老君收回童子与法宝。</x:v>
      </x:c>
      <x:c r="F25" s="27" t="str">
        <x:v>唐僧、孙悟空、猪八戒、金角大王、银角大王、太上老君</x:v>
      </x:c>
      <x:c r="G25" s="27" t="str">
        <x:v>法宝/后台/规则型风险</x:v>
      </x:c>
      <x:c r="H25" s="27" t="str">
        <x:v>悟空识破规则、骗取法宝并反制，最终由太上老君收束后台。</x:v>
      </x:c>
      <x:c r="I25" s="27" t="str">
        <x:v>有后台妖怪与制度资源外溢；能力成熟表现为理解规则并反向使用规则。</x:v>
      </x:c>
      <x:c r="J25" s="27" t="str">
        <x:v>待对照</x:v>
      </x:c>
      <x:c r="K25" s="27" t="str">
        <x:v>待校核原文</x:v>
      </x:c>
      <x:c r="L25" s="27" t="str">
        <x:v>https://zh.wikisource.org/wiki/西游记/第三十二回</x:v>
      </x:c>
      <x:c r="M25" s="27" t="str">
        <x:v>建议作为一个连续难处理，后续与通行八十一难清单对照。</x:v>
      </x:c>
      <x:c r="N25" s="27"/>
    </x:row>
    <x:row r="26" ht="52.79999923706055" hidden="0" customHeight="1">
      <x:c r="A26" s="27" t="str">
        <x:v>F13</x:v>
      </x:c>
      <x:c r="B26" s="27" t="str">
        <x:v>正式难候选</x:v>
      </x:c>
      <x:c r="C26" s="27" t="str">
        <x:v>第36—39回</x:v>
      </x:c>
      <x:c r="D26" s="27" t="str">
        <x:v>乌鸡国/宝林寺/井中</x:v>
      </x:c>
      <x:c r="E26" s="27" t="str">
        <x:v>乌鸡国假王篡位，真王托梦申冤，取经团队查明真假并救活故主。</x:v>
      </x:c>
      <x:c r="F26" s="27" t="str">
        <x:v>唐僧、孙悟空、猪八戒、乌鸡国真王、太子、青毛狮子、文殊</x:v>
      </x:c>
      <x:c r="G26" s="27" t="str">
        <x:v>真假王权/冤案昭雪/后台妖怪</x:v>
      </x:c>
      <x:c r="H26" s="27" t="str">
        <x:v>托梦线索—太子核验—井中取证—求丹还魂—文殊收狮</x:v>
      </x:c>
      <x:c r="I26" s="27" t="str">
        <x:v>辨真伪、雪冤案、复合法；考验团队的调查、证据与纠偏能力。</x:v>
      </x:c>
      <x:c r="J26" s="27" t="str">
        <x:v>待校核</x:v>
      </x:c>
      <x:c r="K26" s="27" t="str">
        <x:v>待与通行八十一难清单对照</x:v>
      </x:c>
      <x:c r="L26" s="27" t="str">
        <x:v>https://zh.wikisource.org/wiki/西游记/%E7%AC%AC%E4%B8%89%E5%8D%81%E5%85%AD%E5%9B%9E</x:v>
      </x:c>
      <x:c r="M26" s="27" t="str">
        <x:v>可与“宝象国黄袍怪”共同研究真假、变形、权力冒用主题。</x:v>
      </x:c>
      <x:c r="N26" s="27"/>
    </x:row>
    <x:row r="27" ht="26.399999618530273" hidden="0" customHeight="1">
      <x:c r="A27" s="27" t="str">
        <x:v>N014</x:v>
      </x:c>
      <x:c r="B27" s="27" t="str">
        <x:v>正式难候选</x:v>
      </x:c>
      <x:c r="C27" s="27" t="str">
        <x:v>第40—42回</x:v>
      </x:c>
      <x:c r="D27" s="27" t="str">
        <x:v>号山/火云洞</x:v>
      </x:c>
      <x:c r="E27" s="27" t="str">
        <x:v>红孩儿三昧真火之难</x:v>
      </x:c>
      <x:c r="F27" s="27" t="str">
        <x:v>红孩儿、唐僧、孙悟空、观音</x:v>
      </x:c>
      <x:c r="G27" s="27" t="str">
        <x:v>能力失控/火性诱捕</x:v>
      </x:c>
      <x:c r="H27" s="27" t="str">
        <x:v>悟空请观音降伏，红孩儿收为善财童子</x:v>
      </x:c>
      <x:c r="I27" s="27" t="str">
        <x:v>少年化妖与未受约束能力的制度化转化。</x:v>
      </x:c>
      <x:c r="J27" s="27" t="str">
        <x:v>待对照</x:v>
      </x:c>
      <x:c r="K27" s="27" t="str">
        <x:v>待校核原文</x:v>
      </x:c>
      <x:c r="L27" s="27" t="str">
        <x:v>https://zh.wikisource.org/wiki/西游记/第四十二回</x:v>
      </x:c>
      <x:c r="M27" s="27" t="str">
        <x:v>红孩儿段通行多列为重要灾难节点。</x:v>
      </x:c>
      <x:c r="N27" s="27"/>
    </x:row>
    <x:row r="28" ht="26.399999618530273" hidden="0" customHeight="1">
      <x:c r="A28" s="27" t="str">
        <x:v>N015</x:v>
      </x:c>
      <x:c r="B28" s="27" t="str">
        <x:v>正式难候选</x:v>
      </x:c>
      <x:c r="C28" s="27" t="str">
        <x:v>第43回</x:v>
      </x:c>
      <x:c r="D28" s="27" t="str">
        <x:v>黑水河</x:v>
      </x:c>
      <x:c r="E28" s="27" t="str">
        <x:v>鼍龙擒僧之难</x:v>
      </x:c>
      <x:c r="F28" s="27" t="str">
        <x:v>鼍龙、唐僧、摩昂太子、西海龙王</x:v>
      </x:c>
      <x:c r="G28" s="27" t="str">
        <x:v>亲属系统失管/水域风险</x:v>
      </x:c>
      <x:c r="H28" s="27" t="str">
        <x:v>西海龙宫系统介入，摩昂太子收回鼍龙</x:v>
      </x:c>
      <x:c r="I28" s="27" t="str">
        <x:v>后台亲属关系中的失控个体需要原系统问责收束。</x:v>
      </x:c>
      <x:c r="J28" s="27" t="str">
        <x:v>待对照</x:v>
      </x:c>
      <x:c r="K28" s="27" t="str">
        <x:v>待校核原文</x:v>
      </x:c>
      <x:c r="L28" s="27" t="str">
        <x:v>https://zh.wikisource.org/wiki/西游记/第四十三回</x:v>
      </x:c>
      <x:c r="M28" s="27" t="str">
        <x:v>与白龙马龙族系统可作对照。</x:v>
      </x:c>
      <x:c r="N28" s="27"/>
    </x:row>
    <x:row r="29" ht="26.399999618530273" hidden="0" customHeight="1">
      <x:c r="A29" s="27" t="str">
        <x:v>N016</x:v>
      </x:c>
      <x:c r="B29" s="27" t="str">
        <x:v>正式难候选</x:v>
      </x:c>
      <x:c r="C29" s="27" t="str">
        <x:v>第44—46回</x:v>
      </x:c>
      <x:c r="D29" s="27" t="str">
        <x:v>车迟国</x:v>
      </x:c>
      <x:c r="E29" s="27" t="str">
        <x:v>车迟国三大仙斗法之难</x:v>
      </x:c>
      <x:c r="F29" s="27" t="str">
        <x:v>虎力大仙、鹿力大仙、羊力大仙、车迟国王、唐僧师徒</x:v>
      </x:c>
      <x:c r="G29" s="27" t="str">
        <x:v>制度偏置/外道欺正</x:v>
      </x:c>
      <x:c r="H29" s="27" t="str">
        <x:v>悟空等斗法破局，三妖现形，国王醒悟</x:v>
      </x:c>
      <x:c r="I29" s="27" t="str">
        <x:v>形式权威被公开验证，邪法在实证面前现形。</x:v>
      </x:c>
      <x:c r="J29" s="27" t="str">
        <x:v>待对照</x:v>
      </x:c>
      <x:c r="K29" s="27" t="str">
        <x:v>待校核原文</x:v>
      </x:c>
      <x:c r="L29" s="27" t="str">
        <x:v>https://zh.wikisource.org/wiki/西游记/第四十六回</x:v>
      </x:c>
      <x:c r="M29" s="27" t="str">
        <x:v>兼具宗教讽刺和制度纠偏意味。</x:v>
      </x:c>
      <x:c r="N29" s="27"/>
    </x:row>
    <x:row r="30" ht="26.399999618530273" hidden="0" customHeight="1">
      <x:c r="A30" s="27" t="str">
        <x:v>N016</x:v>
      </x:c>
      <x:c r="B30" s="27" t="str">
        <x:v>正式难候选</x:v>
      </x:c>
      <x:c r="C30" s="27" t="str">
        <x:v>第47—49回</x:v>
      </x:c>
      <x:c r="D30" s="27" t="str">
        <x:v>通天河/陈家庄</x:v>
      </x:c>
      <x:c r="E30" s="27" t="str">
        <x:v>灵感大王索取童男童女，唐僧沉水宅</x:v>
      </x:c>
      <x:c r="F30" s="27" t="str">
        <x:v>唐僧团队、灵感大王、观音、陈家庄百姓</x:v>
      </x:c>
      <x:c r="G30" s="27" t="str">
        <x:v>祭祀型风险/水域妖患</x:v>
      </x:c>
      <x:c r="H30" s="27" t="str">
        <x:v>悟空求观音，观音以鱼篮收回金鱼</x:v>
      </x:c>
      <x:c r="I30" s="27" t="str">
        <x:v>地方恐惧与后台资源外溢叠加。</x:v>
      </x:c>
      <x:c r="J30" s="27" t="str">
        <x:v>是/待对照</x:v>
      </x:c>
      <x:c r="K30" s="27" t="str">
        <x:v>待校核原文</x:v>
      </x:c>
      <x:c r="L30" s="27" t="str">
        <x:v>https://zh.wikisource.org/wiki/西游记</x:v>
      </x:c>
      <x:c r="M30" s="27" t="str">
        <x:v>需与通行八十一难清单逐项对照。</x:v>
      </x:c>
      <x:c r="N30" s="27"/>
    </x:row>
    <x:row r="31" ht="26.399999618530273" hidden="0" customHeight="1">
      <x:c r="A31" s="27" t="str">
        <x:v>N017</x:v>
      </x:c>
      <x:c r="B31" s="27" t="str">
        <x:v>正式难候选</x:v>
      </x:c>
      <x:c r="C31" s="27" t="str">
        <x:v>第50—52回</x:v>
      </x:c>
      <x:c r="D31" s="27" t="str">
        <x:v>金兜山/金兜洞</x:v>
      </x:c>
      <x:c r="E31" s="27" t="str">
        <x:v>独角兕大王以金刚琢压制诸神兵器</x:v>
      </x:c>
      <x:c r="F31" s="27" t="str">
        <x:v>唐僧团队、独角兕、太上老君、如来</x:v>
      </x:c>
      <x:c r="G31" s="27" t="str">
        <x:v>法宝压制/后台妖怪</x:v>
      </x:c>
      <x:c r="H31" s="27" t="str">
        <x:v>如来暗示，老君收回青牛与金刚琢</x:v>
      </x:c>
      <x:c r="I31" s="27" t="str">
        <x:v>高阶工具外溢导致常规能力失效。</x:v>
      </x:c>
      <x:c r="J31" s="27" t="str">
        <x:v>是/待对照</x:v>
      </x:c>
      <x:c r="K31" s="27" t="str">
        <x:v>待校核原文</x:v>
      </x:c>
      <x:c r="L31" s="27" t="str">
        <x:v>https://zh.wikisource.org/wiki/西游记</x:v>
      </x:c>
      <x:c r="M31" s="27" t="str">
        <x:v>与平顶山法宝风险对照。</x:v>
      </x:c>
      <x:c r="N31" s="27"/>
    </x:row>
    <x:row r="32" ht="26.399999618530273" hidden="0" customHeight="1">
      <x:c r="A32" s="27" t="str">
        <x:v>N018</x:v>
      </x:c>
      <x:c r="B32" s="27" t="str">
        <x:v>结构性风险节点</x:v>
      </x:c>
      <x:c r="C32" s="27" t="str">
        <x:v>第51回</x:v>
      </x:c>
      <x:c r="D32" s="27" t="str">
        <x:v>金兜洞外围救援场</x:v>
      </x:c>
      <x:c r="E32" s="27" t="str">
        <x:v>诸神多轮救援均被金刚琢化解</x:v>
      </x:c>
      <x:c r="F32" s="27" t="str">
        <x:v>悟空、天庭诸神、独角兕</x:v>
      </x:c>
      <x:c r="G32" s="27" t="str">
        <x:v>救援失效/工具垄断</x:v>
      </x:c>
      <x:c r="H32" s="27" t="str">
        <x:v>转向溯源求主</x:v>
      </x:c>
      <x:c r="I32" s="27" t="str">
        <x:v>当工具规则不明时，协同越多未必越有效。</x:v>
      </x:c>
      <x:c r="J32" s="27" t="str">
        <x:v>待定</x:v>
      </x:c>
      <x:c r="K32" s="27" t="str">
        <x:v>待校核原文</x:v>
      </x:c>
      <x:c r="L32" s="27" t="str">
        <x:v>https://zh.wikisource.org/wiki/西游记/第五十一回</x:v>
      </x:c>
      <x:c r="M32" s="27" t="str">
        <x:v>可作为“非单独一难”的风险分析节点。</x:v>
      </x:c>
      <x:c r="N32" s="27"/>
    </x:row>
    <x:row r="33" ht="26.399999618530273" hidden="0" customHeight="1">
      <x:c r="A33" s="27" t="str">
        <x:v>D025</x:v>
      </x:c>
      <x:c r="B33" s="27" t="str">
        <x:v>正式难候选</x:v>
      </x:c>
      <x:c r="C33" s="27" t="str">
        <x:v>第53回</x:v>
      </x:c>
      <x:c r="D33" s="27" t="str">
        <x:v>子母河/解阳山</x:v>
      </x:c>
      <x:c r="E33" s="27" t="str">
        <x:v>误饮子母河水成孕，求落胎泉解厄</x:v>
      </x:c>
      <x:c r="F33" s="27" t="str">
        <x:v>唐僧、猪八戒、悟空、如意真仙</x:v>
      </x:c>
      <x:c r="G33" s="27" t="str">
        <x:v>身体困局/非常规风险</x:v>
      </x:c>
      <x:c r="H33" s="27" t="str">
        <x:v>悟空求取落胎泉水</x:v>
      </x:c>
      <x:c r="I33" s="27" t="str">
        <x:v>身体本身成为修行障碍，须承认限制并求解。</x:v>
      </x:c>
      <x:c r="J33" s="27" t="str">
        <x:v>待对照</x:v>
      </x:c>
      <x:c r="K33" s="27" t="str">
        <x:v>待校核原文</x:v>
      </x:c>
      <x:c r="L33" s="27" t="str">
        <x:v>https://zh.wikisource.org/wiki/西游记/第五十三回</x:v>
      </x:c>
      <x:c r="M33" s="27" t="str">
        <x:v>女儿国前置之难。</x:v>
      </x:c>
      <x:c r="N33" s="27"/>
    </x:row>
    <x:row r="34" ht="26.399999618530273" hidden="0" customHeight="1">
      <x:c r="A34" s="27" t="str">
        <x:v>D026</x:v>
      </x:c>
      <x:c r="B34" s="27" t="str">
        <x:v>正式难候选</x:v>
      </x:c>
      <x:c r="C34" s="27" t="str">
        <x:v>第54回</x:v>
      </x:c>
      <x:c r="D34" s="27" t="str">
        <x:v>西梁女国</x:v>
      </x:c>
      <x:c r="E34" s="27" t="str">
        <x:v>女王招赘，情感与名分诱惑阻路</x:v>
      </x:c>
      <x:c r="F34" s="27" t="str">
        <x:v>唐僧、女儿国王、悟空</x:v>
      </x:c>
      <x:c r="G34" s="27" t="str">
        <x:v>情欲/政治名分/通关</x:v>
      </x:c>
      <x:c r="H34" s="27" t="str">
        <x:v>悟空设计倒换关文，团队脱身</x:v>
      </x:c>
      <x:c r="I34" s="27" t="str">
        <x:v>柔性诱惑比暴力阻拦更考验使命定力。</x:v>
      </x:c>
      <x:c r="J34" s="27" t="str">
        <x:v>待对照</x:v>
      </x:c>
      <x:c r="K34" s="27" t="str">
        <x:v>待校核原文</x:v>
      </x:c>
      <x:c r="L34" s="27" t="str">
        <x:v>https://zh.wikisource.org/wiki/西游记/第五十四回</x:v>
      </x:c>
      <x:c r="M34" s="27" t="str">
        <x:v>需与通行八十一难条目核对。</x:v>
      </x:c>
      <x:c r="N34" s="27"/>
    </x:row>
    <x:row r="35" ht="26.399999618530273" hidden="0" customHeight="1">
      <x:c r="A35" s="27" t="str">
        <x:v>D027</x:v>
      </x:c>
      <x:c r="B35" s="27" t="str">
        <x:v>正式难候选</x:v>
      </x:c>
      <x:c r="C35" s="27" t="str">
        <x:v>第55回</x:v>
      </x:c>
      <x:c r="D35" s="27" t="str">
        <x:v>毒敌山琵琶洞</x:v>
      </x:c>
      <x:c r="E35" s="27" t="str">
        <x:v>蝎子精摄唐僧，以毒钩伤悟空八戒</x:v>
      </x:c>
      <x:c r="F35" s="27" t="str">
        <x:v>唐僧、蝎子精、悟空、昴日星官</x:v>
      </x:c>
      <x:c r="G35" s="27" t="str">
        <x:v>色邪/攻击性诱惑/专业克制</x:v>
      </x:c>
      <x:c r="H35" s="27" t="str">
        <x:v>请昴日星官降伏</x:v>
      </x:c>
      <x:c r="I35" s="27" t="str">
        <x:v>诱惑与攻击合一，须找到专业克制力量。</x:v>
      </x:c>
      <x:c r="J35" s="27" t="str">
        <x:v>待对照</x:v>
      </x:c>
      <x:c r="K35" s="27" t="str">
        <x:v>待校核原文</x:v>
      </x:c>
      <x:c r="L35" s="27" t="str">
        <x:v>https://zh.wikisource.org/wiki/西游记/第五十五回</x:v>
      </x:c>
      <x:c r="M35" s="27" t="str">
        <x:v>蝎子精之难。</x:v>
      </x:c>
      <x:c r="N35" s="27"/>
    </x:row>
    <x:row r="36" ht="26.399999618530273" hidden="0" customHeight="1">
      <x:c r="A36" s="27" t="str">
        <x:v>D028</x:v>
      </x:c>
      <x:c r="B36" s="27" t="str">
        <x:v>风险节点</x:v>
      </x:c>
      <x:c r="C36" s="27" t="str">
        <x:v>第56回</x:v>
      </x:c>
      <x:c r="D36" s="27" t="str">
        <x:v>草寇事件现场</x:v>
      </x:c>
      <x:c r="E36" s="27" t="str">
        <x:v>悟空诛草寇导致师徒冲突升级</x:v>
      </x:c>
      <x:c r="F36" s="27" t="str">
        <x:v>唐僧、孙悟空、草寇</x:v>
      </x:c>
      <x:c r="G36" s="27" t="str">
        <x:v>暴力边界/内部信任</x:v>
      </x:c>
      <x:c r="H36" s="27" t="str">
        <x:v>表面解决盗匪，实则埋下二心爆发</x:v>
      </x:c>
      <x:c r="I36" s="27" t="str">
        <x:v>外部敌人小，内部裂缝大。</x:v>
      </x:c>
      <x:c r="J36" s="27" t="str">
        <x:v>待对照</x:v>
      </x:c>
      <x:c r="K36" s="27" t="str">
        <x:v>待校核原文</x:v>
      </x:c>
      <x:c r="L36" s="27" t="str">
        <x:v>https://zh.wikisource.org/wiki/西游记/第五十六回</x:v>
      </x:c>
      <x:c r="M36" s="27" t="str">
        <x:v>是否列入正式难需校核。</x:v>
      </x:c>
      <x:c r="N36" s="27"/>
    </x:row>
    <x:row r="37" ht="26.399999618530273" hidden="0" customHeight="1">
      <x:c r="A37" s="27" t="str">
        <x:v>D029</x:v>
      </x:c>
      <x:c r="B37" s="27" t="str">
        <x:v>正式难候选</x:v>
      </x:c>
      <x:c r="C37" s="27" t="str">
        <x:v>第57—58回</x:v>
      </x:c>
      <x:c r="D37" s="27" t="str">
        <x:v>水帘洞/地府/灵山</x:v>
      </x:c>
      <x:c r="E37" s="27" t="str">
        <x:v>真假美猴王扰乱取经秩序</x:v>
      </x:c>
      <x:c r="F37" s="27" t="str">
        <x:v>孙悟空、六耳猕猴、如来、谛听</x:v>
      </x:c>
      <x:c r="G37" s="27" t="str">
        <x:v>身份危机/二心/自我分裂</x:v>
      </x:c>
      <x:c r="H37" s="27" t="str">
        <x:v>如来识破六耳，悟空击杀假猴</x:v>
      </x:c>
      <x:c r="I37" s="27" t="str">
        <x:v>最深的难是二心难，真伪之辨也是心性归一。</x:v>
      </x:c>
      <x:c r="J37" s="27" t="str">
        <x:v>待对照</x:v>
      </x:c>
      <x:c r="K37" s="27" t="str">
        <x:v>待校核原文</x:v>
      </x:c>
      <x:c r="L37" s="27" t="str">
        <x:v>https://zh.wikisource.org/wiki/西游记/第五十八回</x:v>
      </x:c>
      <x:c r="M37" s="27" t="str">
        <x:v>全书心性高潮段。</x:v>
      </x:c>
      <x:c r="N37" s="27"/>
    </x:row>
    <x:row r="38" ht="26.399999618530273" hidden="0" customHeight="1">
      <x:c r="A38" s="27" t="str">
        <x:v>N028</x:v>
      </x:c>
      <x:c r="B38" s="27" t="str">
        <x:v>正式难候选</x:v>
      </x:c>
      <x:c r="C38" s="27" t="str">
        <x:v>第59—61回</x:v>
      </x:c>
      <x:c r="D38" s="27" t="str">
        <x:v>火焰山/翠云山/积雷山</x:v>
      </x:c>
      <x:c r="E38" s="27" t="str">
        <x:v>火焰山阻路与三调芭蕉扇</x:v>
      </x:c>
      <x:c r="F38" s="27" t="str">
        <x:v>唐僧、悟空、八戒、铁扇公主、牛魔王</x:v>
      </x:c>
      <x:c r="G38" s="27" t="str">
        <x:v>环境难/资源难/关系难</x:v>
      </x:c>
      <x:c r="H38" s="27" t="str">
        <x:v>三调芭蕉扇，联合降伏牛魔王，取得真扇灭火</x:v>
      </x:c>
      <x:c r="I38" s="27" t="str">
        <x:v>最难的关口常由旧因、资源、家族关系和环境风险叠加形成。</x:v>
      </x:c>
      <x:c r="J38" s="27" t="str">
        <x:v>是</x:v>
      </x:c>
      <x:c r="K38" s="27" t="str">
        <x:v>待与通行八十一难清单对照</x:v>
      </x:c>
      <x:c r="L38" s="27" t="str">
        <x:v>https://zh.wikisource.org/wiki/西游记/第五十九回</x:v>
      </x:c>
      <x:c r="M38" s="27" t="str">
        <x:v>覆盖第59—61回整体。</x:v>
      </x:c>
      <x:c r="N38" s="27"/>
    </x:row>
    <x:row r="39" ht="26.399999618530273" hidden="0" customHeight="1">
      <x:c r="A39" s="27" t="str">
        <x:v>N029</x:v>
      </x:c>
      <x:c r="B39" s="27" t="str">
        <x:v>风险节点</x:v>
      </x:c>
      <x:c r="C39" s="27" t="str">
        <x:v>第59回</x:v>
      </x:c>
      <x:c r="D39" s="27" t="str">
        <x:v>火焰山</x:v>
      </x:c>
      <x:c r="E39" s="27" t="str">
        <x:v>火焰山烈焰阻断路线</x:v>
      </x:c>
      <x:c r="F39" s="27" t="str">
        <x:v>唐僧团队、火焰山土地</x:v>
      </x:c>
      <x:c r="G39" s="27" t="str">
        <x:v>环境风险/路线阻断</x:v>
      </x:c>
      <x:c r="H39" s="27" t="str">
        <x:v>寻求芭蕉扇作为关键治理资源</x:v>
      </x:c>
      <x:c r="I39" s="27" t="str">
        <x:v>外部环境风险迫使团队寻找专门资源。</x:v>
      </x:c>
      <x:c r="J39" s="27" t="str">
        <x:v>待定</x:v>
      </x:c>
      <x:c r="K39" s="27" t="str">
        <x:v>待校核原文</x:v>
      </x:c>
      <x:c r="L39" s="27" t="str">
        <x:v>https://zh.wikisource.org/wiki/西游记/第五十九回</x:v>
      </x:c>
      <x:c r="M39" s="27" t="str">
        <x:v>可作路线风险样本。</x:v>
      </x:c>
      <x:c r="N39" s="27"/>
    </x:row>
    <x:row r="40" ht="26.399999618530273" hidden="0" customHeight="1">
      <x:c r="A40" s="27" t="str">
        <x:v>N030</x:v>
      </x:c>
      <x:c r="B40" s="27" t="str">
        <x:v>风险节点</x:v>
      </x:c>
      <x:c r="C40" s="27" t="str">
        <x:v>第60回</x:v>
      </x:c>
      <x:c r="D40" s="27" t="str">
        <x:v>积雷山/摩云洞/芭蕉洞</x:v>
      </x:c>
      <x:c r="E40" s="27" t="str">
        <x:v>牛魔王关系网使借扇问题复杂化</x:v>
      </x:c>
      <x:c r="F40" s="27" t="str">
        <x:v>悟空、牛魔王、铁扇公主、玉面狐狸</x:v>
      </x:c>
      <x:c r="G40" s="27" t="str">
        <x:v>关系风险/资源控制</x:v>
      </x:c>
      <x:c r="H40" s="27" t="str">
        <x:v>变化、骗取、交涉与再博弈</x:v>
      </x:c>
      <x:c r="I40" s="27" t="str">
        <x:v>资源问题背后常是关系结构问题。</x:v>
      </x:c>
      <x:c r="J40" s="27" t="str">
        <x:v>待定</x:v>
      </x:c>
      <x:c r="K40" s="27" t="str">
        <x:v>待校核原文</x:v>
      </x:c>
      <x:c r="L40" s="27" t="str">
        <x:v>https://zh.wikisource.org/wiki/西游记/第六十回</x:v>
      </x:c>
      <x:c r="M40" s="27" t="str">
        <x:v>与红孩儿、如意真仙形成家族链。</x:v>
      </x:c>
      <x:c r="N40" s="27"/>
    </x:row>
    <x:row r="41" ht="26.399999618530273" hidden="0" customHeight="1">
      <x:c r="A41" s="27" t="str">
        <x:v>N031</x:v>
      </x:c>
      <x:c r="B41" s="27" t="str">
        <x:v>风险节点</x:v>
      </x:c>
      <x:c r="C41" s="27" t="str">
        <x:v>第61回</x:v>
      </x:c>
      <x:c r="D41" s="27" t="str">
        <x:v>火焰山/积雷山</x:v>
      </x:c>
      <x:c r="E41" s="27" t="str">
        <x:v>牛魔王武力抵抗与真扇归位</x:v>
      </x:c>
      <x:c r="F41" s="27" t="str">
        <x:v>悟空、八戒、牛魔王、哪吒、托塔天王</x:v>
      </x:c>
      <x:c r="G41" s="27" t="str">
        <x:v>协同治理/强敌难</x:v>
      </x:c>
      <x:c r="H41" s="27" t="str">
        <x:v>多方合围，降伏牛魔王，取得真扇</x:v>
      </x:c>
      <x:c r="I41" s="27" t="str">
        <x:v>复杂风险最终依赖跨系统协同解决。</x:v>
      </x:c>
      <x:c r="J41" s="27" t="str">
        <x:v>待定</x:v>
      </x:c>
      <x:c r="K41" s="27" t="str">
        <x:v>待校核原文</x:v>
      </x:c>
      <x:c r="L41" s="27" t="str">
        <x:v>https://zh.wikisource.org/wiki/西游记/第六十一回</x:v>
      </x:c>
      <x:c r="M41" s="27" t="str">
        <x:v>可作为协同破局案例。</x:v>
      </x:c>
      <x:c r="N41" s="27"/>
    </x:row>
    <x:row r="42" ht="26.399999618530273" hidden="0" customHeight="1">
      <x:c r="A42" s="27" t="str">
        <x:v>N062</x:v>
      </x:c>
      <x:c r="B42" s="27" t="str">
        <x:v>正式难候选</x:v>
      </x:c>
      <x:c r="C42" s="27" t="str">
        <x:v>第62—63回</x:v>
      </x:c>
      <x:c r="D42" s="27" t="str">
        <x:v>祭赛国/金光寺/碧波潭</x:v>
      </x:c>
      <x:c r="E42" s="27" t="str">
        <x:v>祭赛国宝塔失宝与金光寺僧受冤</x:v>
      </x:c>
      <x:c r="F42" s="27" t="str">
        <x:v>唐僧、悟空、八戒、九头虫、万圣龙王</x:v>
      </x:c>
      <x:c r="G42" s="27" t="str">
        <x:v>失宝冤案/证据链断裂/跨系统盗宝</x:v>
      </x:c>
      <x:c r="H42" s="27" t="str">
        <x:v>夜扫宝塔、追踪碧波潭、协同夺回宝物</x:v>
      </x:c>
      <x:c r="I42" s="27" t="str">
        <x:v>佛宝失窃象征信仰标识被污染，修行要从查清事实开始。</x:v>
      </x:c>
      <x:c r="J42" s="27" t="str">
        <x:v>待对照</x:v>
      </x:c>
      <x:c r="K42" s="27" t="str">
        <x:v>待校核原文</x:v>
      </x:c>
      <x:c r="L42" s="27" t="str">
        <x:v>https://zh.wikisource.org/wiki/西游记/第六十二回</x:v>
      </x:c>
      <x:c r="M42" s="27" t="str">
        <x:v>建议与第63回合并为一组难。</x:v>
      </x:c>
      <x:c r="N42" s="27"/>
    </x:row>
    <x:row r="43" ht="26.399999618530273" hidden="0" customHeight="1">
      <x:c r="A43" s="27" t="str">
        <x:v>N064</x:v>
      </x:c>
      <x:c r="B43" s="27" t="str">
        <x:v>正式难候选</x:v>
      </x:c>
      <x:c r="C43" s="27" t="str">
        <x:v>第64回</x:v>
      </x:c>
      <x:c r="D43" s="27" t="str">
        <x:v>荆棘岭/木仙庵</x:v>
      </x:c>
      <x:c r="E43" s="27" t="str">
        <x:v>树精藤怪以诗文雅趣牵留唐僧</x:v>
      </x:c>
      <x:c r="F43" s="27" t="str">
        <x:v>唐僧、八戒、木仙庵诸精、杏仙</x:v>
      </x:c>
      <x:c r="G43" s="27" t="str">
        <x:v>清雅诱惑/进度拖延/文化迷障</x:v>
      </x:c>
      <x:c r="H43" s="27" t="str">
        <x:v>八戒开路，破除荆棘，继续西行</x:v>
      </x:c>
      <x:c r="I43" s="27" t="str">
        <x:v>修行不只怕色财，也怕被雅趣、名士气和文字游戏牵住脚。</x:v>
      </x:c>
      <x:c r="J43" s="27" t="str">
        <x:v>待对照</x:v>
      </x:c>
      <x:c r="K43" s="27" t="str">
        <x:v>待校核原文</x:v>
      </x:c>
      <x:c r="L43" s="27" t="str">
        <x:v>https://zh.wikisource.org/wiki/西游记/第六十四回</x:v>
      </x:c>
      <x:c r="M43" s="27" t="str">
        <x:v>此难容易被低估，但思想价值高。</x:v>
      </x:c>
      <x:c r="N43" s="27"/>
    </x:row>
    <x:row r="44" ht="26.399999618530273" hidden="0" customHeight="1">
      <x:c r="A44" s="27" t="str">
        <x:v>N065</x:v>
      </x:c>
      <x:c r="B44" s="27" t="str">
        <x:v>正式难候选</x:v>
      </x:c>
      <x:c r="C44" s="27" t="str">
        <x:v>第65—66回</x:v>
      </x:c>
      <x:c r="D44" s="27" t="str">
        <x:v>小雷音寺</x:v>
      </x:c>
      <x:c r="E44" s="27" t="str">
        <x:v>黄眉老怪假设小雷音寺，困住唐僧师徒与诸神</x:v>
      </x:c>
      <x:c r="F44" s="27" t="str">
        <x:v>唐僧、悟空、黄眉、弥勒、诸神</x:v>
      </x:c>
      <x:c r="G44" s="27" t="str">
        <x:v>假权威/法宝压制/救援失效</x:v>
      </x:c>
      <x:c r="H44" s="27" t="str">
        <x:v>弥勒指点并收伏黄眉，源头系统收束</x:v>
      </x:c>
      <x:c r="I44" s="27" t="str">
        <x:v>越近灵山越要辨真假；假权威往往借真实权威的形象获信。</x:v>
      </x:c>
      <x:c r="J44" s="27" t="str">
        <x:v>待对照</x:v>
      </x:c>
      <x:c r="K44" s="27" t="str">
        <x:v>待校核原文</x:v>
      </x:c>
      <x:c r="L44" s="27" t="str">
        <x:v>https://zh.wikisource.org/wiki/西游记/第六十五回</x:v>
      </x:c>
      <x:c r="M44" s="27" t="str">
        <x:v>本组是全书伪权威主题的重要样本。</x:v>
      </x:c>
      <x:c r="N44" s="27"/>
    </x:row>
    <x:row r="45" ht="26.399999618530273" hidden="0" customHeight="1">
      <x:c r="A45" s="27" t="str">
        <x:v>N067</x:v>
      </x:c>
      <x:c r="B45" s="27" t="str">
        <x:v>正式难候选</x:v>
      </x:c>
      <x:c r="C45" s="27" t="str">
        <x:v>第67回</x:v>
      </x:c>
      <x:c r="D45" s="27" t="str">
        <x:v>驼罗庄/七绝山</x:v>
      </x:c>
      <x:c r="E45" s="27" t="str">
        <x:v>蟒蛇精与秽污阻路，民众受困</x:v>
      </x:c>
      <x:c r="F45" s="27" t="str">
        <x:v>悟空、八戒、沙僧、蟒蛇精、驼罗庄众人</x:v>
      </x:c>
      <x:c r="G45" s="27" t="str">
        <x:v>环境风险/基层治理/污秽清理</x:v>
      </x:c>
      <x:c r="H45" s="27" t="str">
        <x:v>降伏蟒蛇精，清理秽污，恢复通行</x:v>
      </x:c>
      <x:c r="I45" s="27" t="str">
        <x:v>道心清与环境清互相映照；降妖也包括清理长期积弊。</x:v>
      </x:c>
      <x:c r="J45" s="27" t="str">
        <x:v>待对照</x:v>
      </x:c>
      <x:c r="K45" s="27" t="str">
        <x:v>待校核原文</x:v>
      </x:c>
      <x:c r="L45" s="27" t="str">
        <x:v>https://zh.wikisource.org/wiki/西游记/第六十七回</x:v>
      </x:c>
      <x:c r="M45" s="27" t="str">
        <x:v>可与水务/环境治理作趣味关联。</x:v>
      </x:c>
      <x:c r="N45" s="27"/>
    </x:row>
    <x:row r="46" ht="26.399999618530273" hidden="0" customHeight="1">
      <x:c r="A46" s="27" t="str">
        <x:v>D034</x:v>
      </x:c>
      <x:c r="B46" s="27" t="str">
        <x:v>正式难候选</x:v>
      </x:c>
      <x:c r="C46" s="27" t="str">
        <x:v>第68—69回</x:v>
      </x:c>
      <x:c r="D46" s="27" t="str">
        <x:v>朱紫国</x:v>
      </x:c>
      <x:c r="E46" s="27" t="str">
        <x:v>国王久病，后宫被掳，国家秩序因妖邪旧案长期失衡。</x:v>
      </x:c>
      <x:c r="F46" s="27" t="str">
        <x:v>唐僧、孙悟空、朱紫国王、金圣宫娘娘</x:v>
      </x:c>
      <x:c r="G46" s="27" t="str">
        <x:v>病症/旧案/治理失序</x:v>
      </x:c>
      <x:c r="H46" s="27" t="str">
        <x:v>悟空诊脉配药，追索病因。</x:v>
      </x:c>
      <x:c r="I46" s="27" t="str">
        <x:v>病是表象，旧案与失序才是根源。</x:v>
      </x:c>
      <x:c r="J46" s="27" t="str">
        <x:v>是（待对照）</x:v>
      </x:c>
      <x:c r="K46" s="27" t="str">
        <x:v>待与通行八十一难清单对照</x:v>
      </x:c>
      <x:c r="L46" s="27" t="str">
        <x:v>https://zh.wikisource.org/wiki/西游记/第六十八回</x:v>
      </x:c>
      <x:c r="M46" s="27" t="str">
        <x:v>可与“医治与救国”专题合并研究。</x:v>
      </x:c>
      <x:c r="N46" s="27"/>
    </x:row>
    <x:row r="47" ht="26.399999618530273" hidden="0" customHeight="1">
      <x:c r="A47" s="27" t="str">
        <x:v>D035</x:v>
      </x:c>
      <x:c r="B47" s="27" t="str">
        <x:v>正式难候选</x:v>
      </x:c>
      <x:c r="C47" s="27" t="str">
        <x:v>第70—71回</x:v>
      </x:c>
      <x:c r="D47" s="27" t="str">
        <x:v>麒麟山獬豸洞</x:v>
      </x:c>
      <x:c r="E47" s="27" t="str">
        <x:v>赛太岁凭紫金铃施烟沙火，掳金圣宫，阻取经团队。</x:v>
      </x:c>
      <x:c r="F47" s="27" t="str">
        <x:v>赛太岁/金毛犼、孙悟空、观音、金圣宫娘娘</x:v>
      </x:c>
      <x:c r="G47" s="27" t="str">
        <x:v>后台坐骑/法宝外溢/色欲劫掠</x:v>
      </x:c>
      <x:c r="H47" s="27" t="str">
        <x:v>悟空计盗紫金铃，观音现身收金毛犼。</x:v>
      </x:c>
      <x:c r="I47" s="27" t="str">
        <x:v>关键法宝被夺回，后台坐骑被收束，秩序复原。</x:v>
      </x:c>
      <x:c r="J47" s="27" t="str">
        <x:v>是（待对照）</x:v>
      </x:c>
      <x:c r="K47" s="27" t="str">
        <x:v>待与通行八十一难清单对照</x:v>
      </x:c>
      <x:c r="L47" s="27" t="str">
        <x:v>https://zh.wikisource.org/wiki/西游记/第七十一回</x:v>
      </x:c>
      <x:c r="M47" s="27" t="str">
        <x:v>与后台妖怪表H014联动。</x:v>
      </x:c>
      <x:c r="N47" s="27"/>
    </x:row>
    <x:row r="48">
      <x:c r="A48" s="27" t="str">
        <x:v>N039</x:v>
      </x:c>
      <x:c r="B48" s="27" t="str">
        <x:v>正式难候选</x:v>
      </x:c>
      <x:c r="C48" s="27" t="str">
        <x:v>第72回</x:v>
      </x:c>
      <x:c r="D48" s="27" t="str">
        <x:v>盘丝洞/濯垢泉</x:v>
      </x:c>
      <x:c r="E48" s="27" t="str">
        <x:v>盘丝洞蜘蛛精与八戒忘形之难</x:v>
      </x:c>
      <x:c r="F48" s="27" t="str">
        <x:v>唐僧、八戒、悟空、蜘蛛精</x:v>
      </x:c>
      <x:c r="G48" s="27" t="str">
        <x:v>欲望/身体/情境诱导</x:v>
      </x:c>
      <x:c r="H48" s="27" t="str">
        <x:v>悟空探明妖情并救出唐僧、八戒</x:v>
      </x:c>
      <x:c r="I48" s="27" t="str">
        <x:v>七情迷本，显示修行路上身体与欲望不可绕开。</x:v>
      </x:c>
      <x:c r="J48" s="27" t="str">
        <x:v>待对照</x:v>
      </x:c>
      <x:c r="K48" s="27" t="str">
        <x:v>待校核原文</x:v>
      </x:c>
      <x:c r="L48" s="27" t="str">
        <x:v>https://zh.wikisource.org/wiki/西游记/第72回</x:v>
      </x:c>
      <x:c r="M48" s="27" t="str">
        <x:v>与女儿国、蝎子精可连成“欲望之难”专题。</x:v>
      </x:c>
      <x:c r="N48" s="27"/>
    </x:row>
    <x:row r="49">
      <x:c r="A49" s="27" t="str">
        <x:v>N040</x:v>
      </x:c>
      <x:c r="B49" s="27" t="str">
        <x:v>正式难候选</x:v>
      </x:c>
      <x:c r="C49" s="27" t="str">
        <x:v>第73回</x:v>
      </x:c>
      <x:c r="D49" s="27" t="str">
        <x:v>黄花观</x:v>
      </x:c>
      <x:c r="E49" s="27" t="str">
        <x:v>蜈蚣精/多目怪毒眼金光之难</x:v>
      </x:c>
      <x:c r="F49" s="27" t="str">
        <x:v>悟空、唐僧、蜈蚣精、毗蓝婆</x:v>
      </x:c>
      <x:c r="G49" s="27" t="str">
        <x:v>专门克制/旧怨毒害/外部救援</x:v>
      </x:c>
      <x:c r="H49" s="27" t="str">
        <x:v>毗蓝婆菩萨以绣花针破多目怪金光</x:v>
      </x:c>
      <x:c r="I49" s="27" t="str">
        <x:v>旧恨生灾毒，强能力也有盲区，须借专业外援破局。</x:v>
      </x:c>
      <x:c r="J49" s="27" t="str">
        <x:v>待对照</x:v>
      </x:c>
      <x:c r="K49" s="27" t="str">
        <x:v>待校核原文</x:v>
      </x:c>
      <x:c r="L49" s="27" t="str">
        <x:v>https://zh.wikisource.org/wiki/西游记/第73回</x:v>
      </x:c>
      <x:c r="M49" s="27" t="str">
        <x:v>可纳入“外部专家救援”与“悟空能力边界”专题。</x:v>
      </x:c>
      <x:c r="N49" s="27"/>
    </x:row>
    <x:row r="50">
      <x:c r="A50" s="27" t="str">
        <x:v>D038</x:v>
      </x:c>
      <x:c r="B50" s="27" t="str">
        <x:v>正式难候选</x:v>
      </x:c>
      <x:c r="C50" s="27" t="str">
        <x:v>第74—77回</x:v>
      </x:c>
      <x:c r="D50" s="27" t="str">
        <x:v>狮驼岭/狮驼国</x:v>
      </x:c>
      <x:c r="E50" s="27" t="str">
        <x:v>青狮、白象、大鹏三魔集团阻路，形成组织化妖怪与极端区域风险。</x:v>
      </x:c>
      <x:c r="F50" s="27" t="str">
        <x:v>唐僧团队、青狮、白象、大鹏、如来、文殊、普贤</x:v>
      </x:c>
      <x:c r="G50" s="27" t="str">
        <x:v>组织化妖怪/后台边界/极端风险</x:v>
      </x:c>
      <x:c r="H50" s="27" t="str">
        <x:v>悟空请如来，文殊、普贤等收束坐骑，大鹏由如来收伏。</x:v>
      </x:c>
      <x:c r="I50" s="27" t="str">
        <x:v>狮驼岭显示妖怪集团化和后台深度叠加，是全书最重风险之一。</x:v>
      </x:c>
      <x:c r="J50" s="27" t="str">
        <x:v>是（待对照）</x:v>
      </x:c>
      <x:c r="K50" s="27" t="str">
        <x:v>待与通行八十一难清单对照</x:v>
      </x:c>
      <x:c r="L50" s="27" t="str">
        <x:v>https://zh.wikisource.org/wiki/西游记/第七十七回</x:v>
      </x:c>
      <x:c r="M50" s="27" t="str">
        <x:v>建议作为“后台妖怪高峰段”重点研究。</x:v>
      </x:c>
      <x:c r="N50" s="27"/>
    </x:row>
    <x:row r="51">
      <x:c r="A51" s="27" t="str">
        <x:v>N041</x:v>
      </x:c>
      <x:c r="B51" s="27" t="str">
        <x:v>结构风险节点</x:v>
      </x:c>
      <x:c r="C51" s="27" t="str">
        <x:v>第74回</x:v>
      </x:c>
      <x:c r="D51" s="27" t="str">
        <x:v>狮驼岭入口</x:v>
      </x:c>
      <x:c r="E51" s="27" t="str">
        <x:v>太白金星提前预警三魔凶狠，提示前方非普通妖怪。</x:v>
      </x:c>
      <x:c r="F51" s="27" t="str">
        <x:v>太白金星、孙悟空、唐僧团队</x:v>
      </x:c>
      <x:c r="G51" s="27" t="str">
        <x:v>预警/情报/风险分级</x:v>
      </x:c>
      <x:c r="H51" s="27" t="str">
        <x:v>悟空先行侦察，避免团队盲目进入。</x:v>
      </x:c>
      <x:c r="I51" s="27" t="str">
        <x:v>预警不是解决问题，但能改变处置方式。</x:v>
      </x:c>
      <x:c r="J51" s="27" t="str">
        <x:v>待对照</x:v>
      </x:c>
      <x:c r="K51" s="27" t="str">
        <x:v>待校核原文</x:v>
      </x:c>
      <x:c r="L51" s="27" t="str">
        <x:v>https://zh.wikisource.org/wiki/西游记/第七十四回</x:v>
      </x:c>
      <x:c r="M51" s="27" t="str">
        <x:v>可入风险管理专题，不一定单列正式难。</x:v>
      </x:c>
      <x:c r="N51" s="27"/>
    </x:row>
    <x:row r="52">
      <x:c r="A52" s="27" t="str">
        <x:v>N042</x:v>
      </x:c>
      <x:c r="B52" s="27" t="str">
        <x:v>结构风险节点</x:v>
      </x:c>
      <x:c r="C52" s="27" t="str">
        <x:v>第75—76回</x:v>
      </x:c>
      <x:c r="D52" s="27" t="str">
        <x:v>狮驼洞</x:v>
      </x:c>
      <x:c r="E52" s="27" t="str">
        <x:v>悟空被吞、团队受困，三魔轮番设局，常规武力与变化术均受限制。</x:v>
      </x:c>
      <x:c r="F52" s="27" t="str">
        <x:v>孙悟空、青狮、白象、大鹏、唐僧团队</x:v>
      </x:c>
      <x:c r="G52" s="27" t="str">
        <x:v>能力受限/系统内部突破</x:v>
      </x:c>
      <x:c r="H52" s="27" t="str">
        <x:v>悟空体内反制并多方周旋。</x:v>
      </x:c>
      <x:c r="I52" s="27" t="str">
        <x:v>极端风险下，核心能力也会被迫转换策略。</x:v>
      </x:c>
      <x:c r="J52" s="27" t="str">
        <x:v>待对照</x:v>
      </x:c>
      <x:c r="K52" s="27" t="str">
        <x:v>待校核原文</x:v>
      </x:c>
      <x:c r="L52" s="27" t="str">
        <x:v>https://zh.wikisource.org/wiki/西游记/第七十五回</x:v>
      </x:c>
      <x:c r="M52" s="27" t="str">
        <x:v>用于能力边界与外援逻辑研究。</x:v>
      </x:c>
      <x:c r="N52" s="27"/>
    </x:row>
    <x:row r="53">
      <x:c r="A53" s="27" t="str">
        <x:v>N33</x:v>
      </x:c>
      <x:c r="B53" s="27" t="str">
        <x:v>正式难候选</x:v>
      </x:c>
      <x:c r="C53" s="27" t="str">
        <x:v>第78—79回</x:v>
      </x:c>
      <x:c r="D53" s="27" t="str">
        <x:v>比丘国/金殿/妖洞</x:v>
      </x:c>
      <x:c r="E53" s="27" t="str">
        <x:v>白鹿精、狐狸精蛊惑国王，欲取一千一百一十一个小儿心肝作药。</x:v>
      </x:c>
      <x:c r="F53" s="27" t="str">
        <x:v>唐僧、悟空、比丘国王、白鹿精、狐狸精、南极老人</x:v>
      </x:c>
      <x:c r="G53" s="27" t="str">
        <x:v>儿童风险/王权被妖惑/养生迷信</x:v>
      </x:c>
      <x:c r="H53" s="27" t="str">
        <x:v>悟空识破妖邪，寻洞擒妖，南极老人收回白鹿，众小儿获救。</x:v>
      </x:c>
      <x:c r="I53" s="27" t="str">
        <x:v>以弱者为牺牲品的王权失序，是全书伦理风险较重的一难。</x:v>
      </x:c>
      <x:c r="J53" s="27" t="str">
        <x:v>待对照</x:v>
      </x:c>
      <x:c r="K53" s="27" t="str">
        <x:v>待校核原文</x:v>
      </x:c>
      <x:c r="L53" s="27" t="str">
        <x:v>https://zh.wikisource.org/wiki/西游记/第七十八回</x:v>
      </x:c>
      <x:c r="M53" s="27" t="str">
        <x:v>与通行八十一难清单待校核。</x:v>
      </x:c>
      <x:c r="N53" s="27"/>
    </x:row>
    <x:row r="54">
      <x:c r="A54" s="27" t="str">
        <x:v>N34</x:v>
      </x:c>
      <x:c r="B54" s="27" t="str">
        <x:v>正式难候选</x:v>
      </x:c>
      <x:c r="C54" s="27" t="str">
        <x:v>第80—83回</x:v>
      </x:c>
      <x:c r="D54" s="27" t="str">
        <x:v>镇海寺/黑松林/无底洞</x:v>
      </x:c>
      <x:c r="E54" s="27" t="str">
        <x:v>地涌夫人/金鼻白毛老鼠精诱摄唐僧，逼婚求配。</x:v>
      </x:c>
      <x:c r="F54" s="27" t="str">
        <x:v>唐僧、悟空、地涌夫人、托塔天王、哪吒</x:v>
      </x:c>
      <x:c r="G54" s="27" t="str">
        <x:v>身份迷局/欲望陷阱/亲属后台</x:v>
      </x:c>
      <x:c r="H54" s="27" t="str">
        <x:v>悟空查明妖怪与托塔天王、哪吒关系，天庭系统协同收束。</x:v>
      </x:c>
      <x:c r="I54" s="27" t="str">
        <x:v>慈悲救助与身份核验之间的张力，显示边界管理的重要性。</x:v>
      </x:c>
      <x:c r="J54" s="27" t="str">
        <x:v>待对照</x:v>
      </x:c>
      <x:c r="K54" s="27" t="str">
        <x:v>待校核原文</x:v>
      </x:c>
      <x:c r="L54" s="27" t="str">
        <x:v>https://zh.wikisource.org/wiki/西游记/第八十三回</x:v>
      </x:c>
      <x:c r="M54" s="27" t="str">
        <x:v>可拆成镇海寺救女、无底洞逼婚、天王收妖等节点。</x:v>
      </x:c>
      <x:c r="N54" s="27"/>
    </x:row>
    <x:row r="55">
      <x:c r="A55" s="27" t="str">
        <x:v>RISK-78</x:v>
      </x:c>
      <x:c r="B55" s="27" t="str">
        <x:v>结构风险节点</x:v>
      </x:c>
      <x:c r="C55" s="27" t="str">
        <x:v>第78回</x:v>
      </x:c>
      <x:c r="D55" s="27" t="str">
        <x:v>比丘国金殿</x:v>
      </x:c>
      <x:c r="E55" s="27" t="str">
        <x:v>王权受妖术与长寿欲望操控，儿童成为牺牲对象。</x:v>
      </x:c>
      <x:c r="F55" s="27" t="str">
        <x:v>比丘国王、国丈、众小儿</x:v>
      </x:c>
      <x:c r="G55" s="27" t="str">
        <x:v>王权失序/儿童保护</x:v>
      </x:c>
      <x:c r="H55" s="27" t="str">
        <x:v>悟空进入朝堂识别妖邪。</x:v>
      </x:c>
      <x:c r="I55" s="27" t="str">
        <x:v>朝堂也可能成为妖邪系统的执行端。</x:v>
      </x:c>
      <x:c r="J55" s="27" t="str">
        <x:v>否</x:v>
      </x:c>
      <x:c r="K55" s="27" t="str">
        <x:v>待校核原文</x:v>
      </x:c>
      <x:c r="L55" s="27" t="str">
        <x:v>https://zh.wikisource.org/wiki/西游记/第七十八回</x:v>
      </x:c>
      <x:c r="M55" s="27" t="str">
        <x:v>专题用，不列正式难。</x:v>
      </x:c>
      <x:c r="N55" s="27"/>
    </x:row>
    <x:row r="56">
      <x:c r="A56" s="27" t="str">
        <x:v>RISK-83</x:v>
      </x:c>
      <x:c r="B56" s="27" t="str">
        <x:v>结构风险节点</x:v>
      </x:c>
      <x:c r="C56" s="27" t="str">
        <x:v>第83回</x:v>
      </x:c>
      <x:c r="D56" s="27" t="str">
        <x:v>天庭/无底洞</x:v>
      </x:c>
      <x:c r="E56" s="27" t="str">
        <x:v>地涌夫人与托塔天王、哪吒关系牵出亲属后台。</x:v>
      </x:c>
      <x:c r="F56" s="27" t="str">
        <x:v>地涌夫人、托塔天王、哪吒、悟空</x:v>
      </x:c>
      <x:c r="G56" s="27" t="str">
        <x:v>后台亲属/身份归属</x:v>
      </x:c>
      <x:c r="H56" s="27" t="str">
        <x:v>悟空追根溯源，促使后台系统出面收束。</x:v>
      </x:c>
      <x:c r="I56" s="27" t="str">
        <x:v>后台责任不只包括坐骑童子，也包括收养关系与旧恩旧情。</x:v>
      </x:c>
      <x:c r="J56" s="27" t="str">
        <x:v>否</x:v>
      </x:c>
      <x:c r="K56" s="27" t="str">
        <x:v>待校核原文</x:v>
      </x:c>
      <x:c r="L56" s="27" t="str">
        <x:v>https://zh.wikisource.org/wiki/西游记/第八十三回</x:v>
      </x:c>
      <x:c r="M56" s="27" t="str">
        <x:v>后台妖怪表重点。</x:v>
      </x:c>
      <x:c r="N56" s="27"/>
    </x:row>
    <x:row r="57">
      <x:c r="A57" s="27" t="str">
        <x:v>N35</x:v>
      </x:c>
      <x:c r="B57" s="27" t="str">
        <x:v>正式难候选</x:v>
      </x:c>
      <x:c r="C57" s="27" t="str">
        <x:v>第84回</x:v>
      </x:c>
      <x:c r="D57" s="27" t="str">
        <x:v>灭法国/王宫/馆驿</x:v>
      </x:c>
      <x:c r="E57" s="27" t="str">
        <x:v>灭法国王以灭僧为政令，唐僧团队面临制度性身份风险。</x:v>
      </x:c>
      <x:c r="F57" s="27" t="str">
        <x:v>唐僧、孙悟空、猪八戒、沙僧、灭法国王</x:v>
      </x:c>
      <x:c r="G57" s="27" t="str">
        <x:v>制度性偏见/身份风险/政治禁令</x:v>
      </x:c>
      <x:c r="H57" s="27" t="str">
        <x:v>悟空以变化与剃发方式化解偏执，使国王转向敬法。</x:v>
      </x:c>
      <x:c r="I57" s="27" t="str">
        <x:v>妖怪之外，还有制度之难；取经也要穿越偏见与权力执念。</x:v>
      </x:c>
      <x:c r="J57" s="27" t="str">
        <x:v>待对照</x:v>
      </x:c>
      <x:c r="K57" s="27" t="str">
        <x:v>待校核原文</x:v>
      </x:c>
      <x:c r="L57" s="27" t="str">
        <x:v>https://zh.wikisource.org/wiki/西游记/第八十四回</x:v>
      </x:c>
      <x:c r="M57" s="27" t="str">
        <x:v>与通行八十一难清单待校核。</x:v>
      </x:c>
      <x:c r="N57" s="27"/>
    </x:row>
    <x:row r="58">
      <x:c r="A58" s="27" t="str">
        <x:v>N36</x:v>
      </x:c>
      <x:c r="B58" s="27" t="str">
        <x:v>正式难候选</x:v>
      </x:c>
      <x:c r="C58" s="27" t="str">
        <x:v>第85—86回</x:v>
      </x:c>
      <x:c r="D58" s="27" t="str">
        <x:v>隐雾山/折岳连环洞</x:v>
      </x:c>
      <x:c r="E58" s="27" t="str">
        <x:v>南山大王/豹子精一伙设谋擒唐僧，形成山林诱捕风险。</x:v>
      </x:c>
      <x:c r="F58" s="27" t="str">
        <x:v>唐僧、孙悟空、猪八戒、南山大王/豹子精</x:v>
      </x:c>
      <x:c r="G58" s="27" t="str">
        <x:v>山林阻隔/普通妖怪/诱捕风险</x:v>
      </x:c>
      <x:c r="H58" s="27" t="str">
        <x:v>悟空、八戒协同识破并灭妖，唐僧脱险。</x:v>
      </x:c>
      <x:c r="I58" s="27" t="str">
        <x:v>无后台妖怪也有实害，普通风险靠团队常态能力处置。</x:v>
      </x:c>
      <x:c r="J58" s="27" t="str">
        <x:v>待对照</x:v>
      </x:c>
      <x:c r="K58" s="27" t="str">
        <x:v>待校核原文</x:v>
      </x:c>
      <x:c r="L58" s="27" t="str">
        <x:v>https://zh.wikisource.org/wiki/西游记/第八十六回</x:v>
      </x:c>
      <x:c r="M58" s="27" t="str">
        <x:v>可作为非后台妖怪对照样本。</x:v>
      </x:c>
      <x:c r="N58" s="27"/>
    </x:row>
    <x:row r="59">
      <x:c r="A59" s="27" t="str">
        <x:v>RISK-84</x:v>
      </x:c>
      <x:c r="B59" s="27" t="str">
        <x:v>结构风险节点</x:v>
      </x:c>
      <x:c r="C59" s="27" t="str">
        <x:v>第84回</x:v>
      </x:c>
      <x:c r="D59" s="27" t="str">
        <x:v>灭法国</x:v>
      </x:c>
      <x:c r="E59" s="27" t="str">
        <x:v>以国家政令和身份标签制造取经风险。</x:v>
      </x:c>
      <x:c r="F59" s="27" t="str">
        <x:v>灭法国王、群臣、唐僧团队</x:v>
      </x:c>
      <x:c r="G59" s="27" t="str">
        <x:v>制度风险/群体偏见</x:v>
      </x:c>
      <x:c r="H59" s="27" t="str">
        <x:v>悟空反向剃发，让掌权者体验身份转换。</x:v>
      </x:c>
      <x:c r="I59" s="27" t="str">
        <x:v>制度性偏见往往需要通过象征性反转来破执。</x:v>
      </x:c>
      <x:c r="J59" s="27" t="str">
        <x:v>否</x:v>
      </x:c>
      <x:c r="K59" s="27" t="str">
        <x:v>待校核原文</x:v>
      </x:c>
      <x:c r="L59" s="27" t="str">
        <x:v>https://zh.wikisource.org/wiki/西游记/第八十四回</x:v>
      </x:c>
      <x:c r="M59" s="27" t="str">
        <x:v>专题用，不列正式难。</x:v>
      </x:c>
      <x:c r="N59" s="27"/>
    </x:row>
    <x:row r="60">
      <x:c r="A60" s="27" t="str">
        <x:v>RISK-85</x:v>
      </x:c>
      <x:c r="B60" s="27" t="str">
        <x:v>结构风险节点</x:v>
      </x:c>
      <x:c r="C60" s="27" t="str">
        <x:v>第85回</x:v>
      </x:c>
      <x:c r="D60" s="27" t="str">
        <x:v>隐雾山</x:v>
      </x:c>
      <x:c r="E60" s="27" t="str">
        <x:v>地形、信息遮蔽、小妖诱导共同构成常态风险。</x:v>
      </x:c>
      <x:c r="F60" s="27" t="str">
        <x:v>唐僧团队、南山大王/豹子精、小妖</x:v>
      </x:c>
      <x:c r="G60" s="27" t="str">
        <x:v>环境风险/信息不对称</x:v>
      </x:c>
      <x:c r="H60" s="27" t="str">
        <x:v>团队进入侦察和战斗处置。</x:v>
      </x:c>
      <x:c r="I60" s="27" t="str">
        <x:v>常态风险的危险在于容易被轻视。</x:v>
      </x:c>
      <x:c r="J60" s="27" t="str">
        <x:v>否</x:v>
      </x:c>
      <x:c r="K60" s="27" t="str">
        <x:v>待校核原文</x:v>
      </x:c>
      <x:c r="L60" s="27" t="str">
        <x:v>https://zh.wikisource.org/wiki/西游记/第八十五回</x:v>
      </x:c>
      <x:c r="M60" s="27" t="str">
        <x:v>专题用。</x:v>
      </x:c>
      <x:c r="N60" s="27"/>
    </x:row>
    <x:row r="61">
      <x:c r="A61" s="27" t="str">
        <x:v>N37</x:v>
      </x:c>
      <x:c r="B61" s="27" t="str">
        <x:v>正式难候选</x:v>
      </x:c>
      <x:c r="C61" s="27" t="str">
        <x:v>第87回</x:v>
      </x:c>
      <x:c r="D61" s="27" t="str">
        <x:v>凤仙郡</x:v>
      </x:c>
      <x:c r="E61" s="27" t="str">
        <x:v>凤仙郡三年大旱，唐僧团队受阻，民生困苦。</x:v>
      </x:c>
      <x:c r="F61" s="27" t="str">
        <x:v>唐僧、孙悟空、凤仙郡侯、玉帝、雷部诸神</x:v>
      </x:c>
      <x:c r="G61" s="27" t="str">
        <x:v>天灾治理/德政失序/求雨</x:v>
      </x:c>
      <x:c r="H61" s="27" t="str">
        <x:v>悟空上天求雨并劝郡侯悔过，雷部施雨。</x:v>
      </x:c>
      <x:c r="I61" s="27" t="str">
        <x:v>天灾不只是自然阻碍，也被书写为治理与德行的检验。</x:v>
      </x:c>
      <x:c r="J61" s="27" t="str">
        <x:v>待对照</x:v>
      </x:c>
      <x:c r="K61" s="27" t="str">
        <x:v>待校核原文</x:v>
      </x:c>
      <x:c r="L61" s="27" t="str">
        <x:v>https://zh.wikisource.org/wiki/西游记/第八十七回</x:v>
      </x:c>
      <x:c r="M61" s="27" t="str">
        <x:v>与通行八十一难清单待校核。</x:v>
      </x:c>
      <x:c r="N61" s="27"/>
    </x:row>
    <x:row r="62">
      <x:c r="A62" s="27" t="str">
        <x:v>RISK-87</x:v>
      </x:c>
      <x:c r="B62" s="27" t="str">
        <x:v>结构风险节点</x:v>
      </x:c>
      <x:c r="C62" s="27" t="str">
        <x:v>第87回</x:v>
      </x:c>
      <x:c r="D62" s="27" t="str">
        <x:v>天庭/凤仙郡</x:v>
      </x:c>
      <x:c r="E62" s="27" t="str">
        <x:v>天庭不雨与地方失德形成上下系统联动风险。</x:v>
      </x:c>
      <x:c r="F62" s="27" t="str">
        <x:v>凤仙郡侯、玉帝、雷部、悟空</x:v>
      </x:c>
      <x:c r="G62" s="27" t="str">
        <x:v>系统性灾害/上下级治理</x:v>
      </x:c>
      <x:c r="H62" s="27" t="str">
        <x:v>悟空协调天庭与地方悔过行动。</x:v>
      </x:c>
      <x:c r="I62" s="27" t="str">
        <x:v>救灾需要外部资源，也需要内部纠偏。</x:v>
      </x:c>
      <x:c r="J62" s="27" t="str">
        <x:v>否</x:v>
      </x:c>
      <x:c r="K62" s="27" t="str">
        <x:v>待校核原文</x:v>
      </x:c>
      <x:c r="L62" s="27" t="str">
        <x:v>https://zh.wikisource.org/wiki/西游记/第八十七回</x:v>
      </x:c>
      <x:c r="M62" s="27" t="str">
        <x:v>专题用。</x:v>
      </x:c>
      <x:c r="N62" s="27"/>
    </x:row>
    <x:row r="63">
      <x:c r="A63" s="27" t="str">
        <x:v>N38</x:v>
      </x:c>
      <x:c r="B63" s="27" t="str">
        <x:v>正式难候选</x:v>
      </x:c>
      <x:c r="C63" s="27" t="str">
        <x:v>第88—90回</x:v>
      </x:c>
      <x:c r="D63" s="27" t="str">
        <x:v>玉华州/豹头山/竹节山</x:v>
      </x:c>
      <x:c r="E63" s="27" t="str">
        <x:v>玉华州授艺后兵器被盗，引出黄狮精、九灵元圣风险。</x:v>
      </x:c>
      <x:c r="F63" s="27" t="str">
        <x:v>悟空、八戒、沙僧、黄狮精、九灵元圣、太乙救苦天尊</x:v>
      </x:c>
      <x:c r="G63" s="27" t="str">
        <x:v>传承风险/资源外泄/后台升级</x:v>
      </x:c>
      <x:c r="H63" s="27" t="str">
        <x:v>三徒用计夺器，后请太乙救苦天尊收九灵元圣。</x:v>
      </x:c>
      <x:c r="I63" s="27" t="str">
        <x:v>能力传承与资源展示若无边界，容易引发工具外泄与高阶风险。</x:v>
      </x:c>
      <x:c r="J63" s="27" t="str">
        <x:v>待对照</x:v>
      </x:c>
      <x:c r="K63" s="27" t="str">
        <x:v>待校核原文</x:v>
      </x:c>
      <x:c r="L63" s="27" t="str">
        <x:v>https://zh.wikisource.org/wiki/西游记/第九十回</x:v>
      </x:c>
      <x:c r="M63" s="27" t="str">
        <x:v>可拆为黄狮精之难与九灵元圣之难。</x:v>
      </x:c>
      <x:c r="N63" s="27"/>
    </x:row>
    <x:row r="64">
      <x:c r="A64" s="27" t="str">
        <x:v>RISK-88</x:v>
      </x:c>
      <x:c r="B64" s="27" t="str">
        <x:v>结构风险节点</x:v>
      </x:c>
      <x:c r="C64" s="27" t="str">
        <x:v>第88回</x:v>
      </x:c>
      <x:c r="D64" s="27" t="str">
        <x:v>玉华州</x:v>
      </x:c>
      <x:c r="E64" s="27" t="str">
        <x:v>三徒授艺与兵器展示使关键能力外显。</x:v>
      </x:c>
      <x:c r="F64" s="27" t="str">
        <x:v>悟空、八戒、沙僧、三王子</x:v>
      </x:c>
      <x:c r="G64" s="27" t="str">
        <x:v>传承边界/工具暴露</x:v>
      </x:c>
      <x:c r="H64" s="27" t="str">
        <x:v>后续引发兵器被盗风险。</x:v>
      </x:c>
      <x:c r="I64" s="27" t="str">
        <x:v>传承本身不是风险，无边界展示才是风险。</x:v>
      </x:c>
      <x:c r="J64" s="27" t="str">
        <x:v>否</x:v>
      </x:c>
      <x:c r="K64" s="27" t="str">
        <x:v>待校核原文</x:v>
      </x:c>
      <x:c r="L64" s="27" t="str">
        <x:v>https://zh.wikisource.org/wiki/西游记/第八十八回</x:v>
      </x:c>
      <x:c r="M64" s="27" t="str">
        <x:v>与第89回强关联。</x:v>
      </x:c>
      <x:c r="N64" s="27"/>
    </x:row>
    <x:row r="65">
      <x:c r="A65" s="27" t="str">
        <x:v>RISK-89</x:v>
      </x:c>
      <x:c r="B65" s="27" t="str">
        <x:v>结构风险节点</x:v>
      </x:c>
      <x:c r="C65" s="27" t="str">
        <x:v>第89回</x:v>
      </x:c>
      <x:c r="D65" s="27" t="str">
        <x:v>豹头山/虎口洞</x:v>
      </x:c>
      <x:c r="E65" s="27" t="str">
        <x:v>黄狮精盗走金箍棒、钉钯、禅杖，设钉钯宴。</x:v>
      </x:c>
      <x:c r="F65" s="27" t="str">
        <x:v>黄狮精、悟空、八戒、沙僧</x:v>
      </x:c>
      <x:c r="G65" s="27" t="str">
        <x:v>关键资源失控/身份象征受损</x:v>
      </x:c>
      <x:c r="H65" s="27" t="str">
        <x:v>三徒变身潜入，夺回兵器并追击。</x:v>
      </x:c>
      <x:c r="I65" s="27" t="str">
        <x:v>关键工具一旦被盗，会放大为组织能力与声誉风险。</x:v>
      </x:c>
      <x:c r="J65" s="27" t="str">
        <x:v>否</x:v>
      </x:c>
      <x:c r="K65" s="27" t="str">
        <x:v>待校核原文</x:v>
      </x:c>
      <x:c r="L65" s="27" t="str">
        <x:v>https://zh.wikisource.org/wiki/西游记/第八十九回</x:v>
      </x:c>
      <x:c r="M65" s="27" t="str">
        <x:v>法宝表联动。</x:v>
      </x:c>
      <x:c r="N65" s="27"/>
    </x:row>
    <x:row r="66">
      <x:c r="A66" s="27" t="str">
        <x:v>RISK-90</x:v>
      </x:c>
      <x:c r="B66" s="27" t="str">
        <x:v>结构风险节点</x:v>
      </x:c>
      <x:c r="C66" s="27" t="str">
        <x:v>第90回</x:v>
      </x:c>
      <x:c r="D66" s="27" t="str">
        <x:v>竹节山/九曲盘桓洞</x:v>
      </x:c>
      <x:c r="E66" s="27" t="str">
        <x:v>黄狮精风险背后升级为九灵元圣后台。</x:v>
      </x:c>
      <x:c r="F66" s="27" t="str">
        <x:v>九灵元圣、太乙救苦天尊、黄狮精、悟空</x:v>
      </x:c>
      <x:c r="G66" s="27" t="str">
        <x:v>后台升级/高阶坐骑失管</x:v>
      </x:c>
      <x:c r="H66" s="27" t="str">
        <x:v>悟空请太乙救苦天尊出面收束。</x:v>
      </x:c>
      <x:c r="I66" s="27" t="str">
        <x:v>前端小风险常牵出后端大系统，需追根溯源。</x:v>
      </x:c>
      <x:c r="J66" s="27" t="str">
        <x:v>否</x:v>
      </x:c>
      <x:c r="K66" s="27" t="str">
        <x:v>待校核原文</x:v>
      </x:c>
      <x:c r="L66" s="27" t="str">
        <x:v>https://zh.wikisource.org/wiki/西游记/第九十回</x:v>
      </x:c>
      <x:c r="M66" s="27" t="str">
        <x:v>后台妖怪表重点。</x:v>
      </x:c>
      <x:c r="N66" s="27"/>
    </x:row>
    <x:row r="67">
      <x:c r="A67" s="27" t="str">
        <x:v>N39</x:v>
      </x:c>
      <x:c r="B67" s="27" t="str">
        <x:v>正式难候选</x:v>
      </x:c>
      <x:c r="C67" s="27" t="str">
        <x:v>第91—92回</x:v>
      </x:c>
      <x:c r="D67" s="27" t="str">
        <x:v>金平府/玄英洞/青龙山</x:v>
      </x:c>
      <x:c r="E67" s="27" t="str">
        <x:v>三犀牛怪借元夜观灯与灯油供奉摄走唐僧。</x:v>
      </x:c>
      <x:c r="F67" s="27" t="str">
        <x:v>唐僧、三犀牛怪、金平府众僧、悟空、四木禽星</x:v>
      </x:c>
      <x:c r="G67" s="27" t="str">
        <x:v>祭祀经济/假神显灵/地方信仰风险</x:v>
      </x:c>
      <x:c r="H67" s="27" t="str">
        <x:v>悟空等交战并请四木禽星协助，擒捉犀牛怪。</x:v>
      </x:c>
      <x:c r="I67" s="27" t="str">
        <x:v>假权威若与地方供奉结合，会形成长期耗民的制度化迷障。</x:v>
      </x:c>
      <x:c r="J67" s="27" t="str">
        <x:v>待对照</x:v>
      </x:c>
      <x:c r="K67" s="27" t="str">
        <x:v>待校核原文</x:v>
      </x:c>
      <x:c r="L67" s="27" t="str">
        <x:v>https://zh.wikisource.org/wiki/西游记/第九十二回</x:v>
      </x:c>
      <x:c r="M67" s="27" t="str">
        <x:v>可拆分为金平府观灯与犀牛怪收束。</x:v>
      </x:c>
      <x:c r="N67" s="27"/>
    </x:row>
    <x:row r="68">
      <x:c r="A68" s="27" t="str">
        <x:v>RISK-91</x:v>
      </x:c>
      <x:c r="B68" s="27" t="str">
        <x:v>结构风险节点</x:v>
      </x:c>
      <x:c r="C68" s="27" t="str">
        <x:v>第91回</x:v>
      </x:c>
      <x:c r="D68" s="27" t="str">
        <x:v>金平府</x:v>
      </x:c>
      <x:c r="E68" s="27" t="str">
        <x:v>灯油供奉与元夜观灯形成假神显灵的社会环境。</x:v>
      </x:c>
      <x:c r="F68" s="27" t="str">
        <x:v>金平府百姓、僧众、三犀牛怪</x:v>
      </x:c>
      <x:c r="G68" s="27" t="str">
        <x:v>祭祀经济/民间信仰/资源消耗</x:v>
      </x:c>
      <x:c r="H68" s="27" t="str">
        <x:v>通过识别妖怪本相并切断供奉链条化解。</x:v>
      </x:c>
      <x:c r="I68" s="27" t="str">
        <x:v>风险不只来自妖怪本身，也来自被妖怪利用的供奉制度。</x:v>
      </x:c>
      <x:c r="J68" s="27" t="str">
        <x:v>否</x:v>
      </x:c>
      <x:c r="K68" s="27" t="str">
        <x:v>待校核原文</x:v>
      </x:c>
      <x:c r="L68" s="27" t="str">
        <x:v>https://zh.wikisource.org/wiki/西游记/第九十一回</x:v>
      </x:c>
      <x:c r="M68" s="27" t="str">
        <x:v>专题用。</x:v>
      </x:c>
      <x:c r="N68" s="27"/>
    </x:row>
    <x:row r="69">
      <x:c r="A69" s="27" t="str">
        <x:v>N40</x:v>
      </x:c>
      <x:c r="B69" s="27" t="str">
        <x:v>正式难候选</x:v>
      </x:c>
      <x:c r="C69" s="27" t="str">
        <x:v>第93—95回</x:v>
      </x:c>
      <x:c r="D69" s="27" t="str">
        <x:v>天竺国/王宫/御花园</x:v>
      </x:c>
      <x:c r="E69" s="27" t="str">
        <x:v>玉兔精冒充天竺公主，设计婚配唐僧。</x:v>
      </x:c>
      <x:c r="F69" s="27" t="str">
        <x:v>唐僧、孙悟空、玉兔精、天竺国王、真公主、太阴星君</x:v>
      </x:c>
      <x:c r="G69" s="27" t="str">
        <x:v>身份替换/婚配诱惑/王室风险</x:v>
      </x:c>
      <x:c r="H69" s="27" t="str">
        <x:v>悟空识破假公主，太阴星君收回玉兔，真公主归正。</x:v>
      </x:c>
      <x:c r="I69" s="27" t="str">
        <x:v>临近灵山仍有真假身份与欲望迷障，取经须辨明真伪。</x:v>
      </x:c>
      <x:c r="J69" s="27" t="str">
        <x:v>待对照</x:v>
      </x:c>
      <x:c r="K69" s="27" t="str">
        <x:v>待校核原文</x:v>
      </x:c>
      <x:c r="L69" s="27" t="str">
        <x:v>https://zh.wikisource.org/wiki/西游记/第九十五回</x:v>
      </x:c>
      <x:c r="M69" s="27" t="str">
        <x:v>与女儿国、真假美猴王、无底洞等身份/欲望段联动。</x:v>
      </x:c>
      <x:c r="N69" s="27"/>
    </x:row>
    <x:row r="70">
      <x:c r="A70" s="27" t="str">
        <x:v>RISK-94</x:v>
      </x:c>
      <x:c r="B70" s="27" t="str">
        <x:v>结构风险节点</x:v>
      </x:c>
      <x:c r="C70" s="27" t="str">
        <x:v>第94回</x:v>
      </x:c>
      <x:c r="D70" s="27" t="str">
        <x:v>天竺国御花园</x:v>
      </x:c>
      <x:c r="E70" s="27" t="str">
        <x:v>正式宴乐与王室婚配礼制被妖怪利用，形成体面化诱惑。</x:v>
      </x:c>
      <x:c r="F70" s="27" t="str">
        <x:v>假公主/玉兔精、唐僧、天竺国王</x:v>
      </x:c>
      <x:c r="G70" s="27" t="str">
        <x:v>合法外衣/制度场景/欲望诱导</x:v>
      </x:c>
      <x:c r="H70" s="27" t="str">
        <x:v>悟空持续识别并推动真相揭示。</x:v>
      </x:c>
      <x:c r="I70" s="27" t="str">
        <x:v>披着合法身份的风险往往比裸露妖气更难辨。</x:v>
      </x:c>
      <x:c r="J70" s="27" t="str">
        <x:v>否</x:v>
      </x:c>
      <x:c r="K70" s="27" t="str">
        <x:v>待校核原文</x:v>
      </x:c>
      <x:c r="L70" s="27" t="str">
        <x:v>https://zh.wikisource.org/wiki/西游记/第九十四回</x:v>
      </x:c>
      <x:c r="M70" s="27" t="str">
        <x:v>专题用。</x:v>
      </x:c>
      <x:c r="N70" s="27"/>
    </x:row>
    <x:row r="71" ht="48" customHeight="1">
      <x:c r="A71" s="27" t="str">
        <x:v>N41</x:v>
      </x:c>
      <x:c r="B71" s="27" t="str">
        <x:v>正式难候选</x:v>
      </x:c>
      <x:c r="C71" s="27" t="str">
        <x:v>第96—97回</x:v>
      </x:c>
      <x:c r="D71" s="27" t="str">
        <x:v>铜台府/地灵县/寇家</x:v>
      </x:c>
      <x:c r="E71" s="27" t="str">
        <x:v>寇员外善待取经人，后遭盗劫与冤案，唐僧师徒被卷入善缘后的现实风险。</x:v>
      </x:c>
      <x:c r="F71" s="27" t="str">
        <x:v>唐僧、悟空、寇员外、强盗/贼人</x:v>
      </x:c>
      <x:c r="G71" s="27" t="str">
        <x:v>善缘变风险/冤案</x:v>
      </x:c>
      <x:c r="H71" s="27" t="str">
        <x:v>悟空追查、救回本原、澄清冤屈</x:v>
      </x:c>
      <x:c r="I71" s="27" t="str">
        <x:v>善行需经得起世间复杂性检验。</x:v>
      </x:c>
      <x:c r="J71" s="27" t="str">
        <x:v>待校核</x:v>
      </x:c>
      <x:c r="K71" s="27" t="str">
        <x:v>待校核原文</x:v>
      </x:c>
      <x:c r="L71" s="27" t="str">
        <x:v>https://zh.wikisource.org/wiki/西游记/第九十七回</x:v>
      </x:c>
      <x:c r="M71" s="27" t="str">
        <x:v>是否列入通行八十一难需与校注本对照。</x:v>
      </x:c>
      <x:c r="N71" s="27"/>
    </x:row>
    <x:row r="72" ht="48" customHeight="1">
      <x:c r="A72" s="27" t="str">
        <x:v>RISK-96</x:v>
      </x:c>
      <x:c r="B72" s="27" t="str">
        <x:v>结构风险节点</x:v>
      </x:c>
      <x:c r="C72" s="27" t="str">
        <x:v>第96回</x:v>
      </x:c>
      <x:c r="D72" s="27" t="str">
        <x:v>寇家</x:v>
      </x:c>
      <x:c r="E72" s="27" t="str">
        <x:v>外部供养与财物馈赠带来边界、廉洁和安全风险。</x:v>
      </x:c>
      <x:c r="F72" s="27" t="str">
        <x:v>唐僧、寇员外、取经团队</x:v>
      </x:c>
      <x:c r="G72" s="27" t="str">
        <x:v>资源边界/外护风险</x:v>
      </x:c>
      <x:c r="H72" s="27" t="str">
        <x:v>唐僧不贪富贵，坚持取经本务</x:v>
      </x:c>
      <x:c r="I72" s="27" t="str">
        <x:v>越到终点越要防止被善意资源偏转。</x:v>
      </x:c>
      <x:c r="J72" s="27" t="str">
        <x:v>否</x:v>
      </x:c>
      <x:c r="K72" s="27" t="str">
        <x:v>待校核原文</x:v>
      </x:c>
      <x:c r="L72" s="27" t="str">
        <x:v>https://zh.wikisource.org/wiki/西游记/第九十六回</x:v>
      </x:c>
      <x:c r="M72" s="27" t="str">
        <x:v>专题化处理，不宜简单归入妖怪难。</x:v>
      </x:c>
      <x:c r="N72" s="27"/>
    </x:row>
    <x:row r="73" ht="48" customHeight="1">
      <x:c r="A73" s="27" t="str">
        <x:v>RISK-98A</x:v>
      </x:c>
      <x:c r="B73" s="27" t="str">
        <x:v>结构风险节点</x:v>
      </x:c>
      <x:c r="C73" s="27" t="str">
        <x:v>第98回</x:v>
      </x:c>
      <x:c r="D73" s="27" t="str">
        <x:v>凌云渡/灵山</x:v>
      </x:c>
      <x:c r="E73" s="27" t="str">
        <x:v>脱凡胎、见真如，取经从行路转入成果交付。</x:v>
      </x:c>
      <x:c r="F73" s="27" t="str">
        <x:v>唐僧师徒、如来</x:v>
      </x:c>
      <x:c r="G73" s="27" t="str">
        <x:v>终局转换/交付前置</x:v>
      </x:c>
      <x:c r="H73" s="27" t="str">
        <x:v>过凌云渡，见如来</x:v>
      </x:c>
      <x:c r="I73" s="27" t="str">
        <x:v>成果交付之前先要完成主体转换。</x:v>
      </x:c>
      <x:c r="J73" s="27" t="str">
        <x:v>否</x:v>
      </x:c>
      <x:c r="K73" s="27" t="str">
        <x:v>待校核原文</x:v>
      </x:c>
      <x:c r="L73" s="27" t="str">
        <x:v>https://zh.wikisource.org/wiki/西游记/第九十八回</x:v>
      </x:c>
      <x:c r="M73" s="27" t="str">
        <x:v>思想结构节点。</x:v>
      </x:c>
      <x:c r="N73" s="27"/>
    </x:row>
    <x:row r="74" ht="48" customHeight="1">
      <x:c r="A74" s="27" t="str">
        <x:v>RISK-98B</x:v>
      </x:c>
      <x:c r="B74" s="27" t="str">
        <x:v>结构风险节点</x:v>
      </x:c>
      <x:c r="C74" s="27" t="str">
        <x:v>第98回</x:v>
      </x:c>
      <x:c r="D74" s="27" t="str">
        <x:v>大雷音寺</x:v>
      </x:c>
      <x:c r="E74" s="27" t="str">
        <x:v>阿傩、迦叶先授无字经，暴露成果交付中的真伪与规则问题。</x:v>
      </x:c>
      <x:c r="F74" s="27" t="str">
        <x:v>唐僧、阿傩、迦叶、燃灯古佛</x:v>
      </x:c>
      <x:c r="G74" s="27" t="str">
        <x:v>交付质量/无字经</x:v>
      </x:c>
      <x:c r="H74" s="27" t="str">
        <x:v>燃灯提示，唐僧回换有字真经</x:v>
      </x:c>
      <x:c r="I74" s="27" t="str">
        <x:v>真经也要验收，不能只看形式完成。</x:v>
      </x:c>
      <x:c r="J74" s="27" t="str">
        <x:v>否/待考</x:v>
      </x:c>
      <x:c r="K74" s="27" t="str">
        <x:v>待校核原文</x:v>
      </x:c>
      <x:c r="L74" s="27" t="str">
        <x:v>https://zh.wikisource.org/wiki/西游记/第九十八回</x:v>
      </x:c>
      <x:c r="M74" s="27" t="str">
        <x:v>可作为终局风险专题。</x:v>
      </x:c>
      <x:c r="N74" s="27"/>
    </x:row>
    <x:row r="75" ht="48" customHeight="1">
      <x:c r="A75" s="27" t="str">
        <x:v>N42</x:v>
      </x:c>
      <x:c r="B75" s="27" t="str">
        <x:v>正式难候选</x:v>
      </x:c>
      <x:c r="C75" s="27" t="str">
        <x:v>第99回</x:v>
      </x:c>
      <x:c r="D75" s="27" t="str">
        <x:v>通天河/回程</x:v>
      </x:c>
      <x:c r="E75" s="27" t="str">
        <x:v>老鼋因唐僧未代问年寿而掀落师徒，经卷落水受湿，补足第八十一难。</x:v>
      </x:c>
      <x:c r="F75" s="27" t="str">
        <x:v>唐僧师徒、老鼋、观音、揭谛</x:v>
      </x:c>
      <x:c r="G75" s="27" t="str">
        <x:v>补难/回程风险/承诺失信</x:v>
      </x:c>
      <x:c r="H75" s="27" t="str">
        <x:v>经卷晒干，难数圆满</x:v>
      </x:c>
      <x:c r="I75" s="27" t="str">
        <x:v>圆满之前仍有最后考验，承诺不能遗忘。</x:v>
      </x:c>
      <x:c r="J75" s="27" t="str">
        <x:v>待校核</x:v>
      </x:c>
      <x:c r="K75" s="27" t="str">
        <x:v>待校核原文</x:v>
      </x:c>
      <x:c r="L75" s="27" t="str">
        <x:v>https://zh.wikisource.org/wiki/西游记/第九十九回</x:v>
      </x:c>
      <x:c r="M75" s="27" t="str">
        <x:v>通行八十一难常以此类节点作收束。</x:v>
      </x:c>
      <x:c r="N75" s="27"/>
    </x:row>
    <x:row r="76" ht="48" customHeight="1">
      <x:c r="A76" s="27" t="str">
        <x:v>RISK-100</x:v>
      </x:c>
      <x:c r="B76" s="27" t="str">
        <x:v>结构收束节点</x:v>
      </x:c>
      <x:c r="C76" s="27" t="str">
        <x:v>第100回</x:v>
      </x:c>
      <x:c r="D76" s="27" t="str">
        <x:v>长安/灵山</x:v>
      </x:c>
      <x:c r="E76" s="27" t="str">
        <x:v>真经回传与五圣成真，外在约束转为内在归位。</x:v>
      </x:c>
      <x:c r="F76" s="27" t="str">
        <x:v>唐僧、悟空、八戒、沙僧、白龙马、唐太宗、如来</x:v>
      </x:c>
      <x:c r="G76" s="27" t="str">
        <x:v>成果回传/功德评价</x:v>
      </x:c>
      <x:c r="H76" s="27" t="str">
        <x:v>回东土、见太宗、封五圣</x:v>
      </x:c>
      <x:c r="I76" s="27" t="str">
        <x:v>取经终点不是取得文本，而是完成角色与心性的转化。</x:v>
      </x:c>
      <x:c r="J76" s="27" t="str">
        <x:v>否</x:v>
      </x:c>
      <x:c r="K76" s="27" t="str">
        <x:v>待校核原文</x:v>
      </x:c>
      <x:c r="L76" s="27" t="str">
        <x:v>https://zh.wikisource.org/wiki/西游记/第一百回</x:v>
      </x:c>
      <x:c r="M76" s="27" t="str">
        <x:v>全书总收束。</x:v>
      </x:c>
      <x:c r="N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24" hidden="0" customWidth="1"/>
    <x:col min="5" max="5" width="22" hidden="0" customWidth="1"/>
    <x:col min="6" max="6" width="12" hidden="0" customWidth="1"/>
    <x:col min="7" max="7" width="28" hidden="0" customWidth="1"/>
    <x:col min="8" max="8" width="34" hidden="0" customWidth="1"/>
    <x:col min="9" max="9" width="34" hidden="0" customWidth="1"/>
    <x:col min="10" max="10" width="24" hidden="0" customWidth="1"/>
    <x:col min="11" max="11" width="22" hidden="0" customWidth="1"/>
    <x:col min="12" max="12" width="12" hidden="0" customWidth="1"/>
    <x:col min="13" max="13" width="32" hidden="0" customWidth="1"/>
    <x:col min="14" max="14" width="28" hidden="0" customWidth="1"/>
  </x:cols>
  <x:sheetData>
    <x:row r="1" ht="15" hidden="0" customHeight="1">
      <x:c r="A1" s="19" t="str">
        <x:v>编号</x:v>
      </x:c>
      <x:c r="B1" s="19" t="str">
        <x:v>名称/对象</x:v>
      </x:c>
      <x:c r="C1" s="19" t="str">
        <x:v>出现回次</x:v>
      </x:c>
      <x:c r="D1" s="19" t="str">
        <x:v>身份类型</x:v>
      </x:c>
      <x:c r="E1" s="19" t="str">
        <x:v>阵营/系统</x:v>
      </x:c>
      <x:c r="F1" s="19" t="str">
        <x:v>是否妖怪</x:v>
      </x:c>
      <x:c r="G1" s="19" t="str">
        <x:v>来源/后台</x:v>
      </x:c>
      <x:c r="H1" s="19" t="str">
        <x:v>主要事件</x:v>
      </x:c>
      <x:c r="I1" s="19" t="str">
        <x:v>象征意义</x:v>
      </x:c>
      <x:c r="J1" s="19" t="str">
        <x:v>研究分类</x:v>
      </x:c>
      <x:c r="K1" s="19" t="str">
        <x:v>处理方式</x:v>
      </x:c>
      <x:c r="L1" s="19" t="str">
        <x:v>证据状态</x:v>
      </x:c>
      <x:c r="M1" s="19" t="str">
        <x:v>来源URL</x:v>
      </x:c>
      <x:c r="N1" s="19" t="str">
        <x:v>备注</x:v>
      </x:c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52.79999923706055" hidden="0" customHeight="1">
      <x:c r="A2" s="27" t="str">
        <x:v>Y001</x:v>
      </x:c>
      <x:c r="B2" s="27" t="str">
        <x:v>混世魔王</x:v>
      </x:c>
      <x:c r="C2" s="27" t="str">
        <x:v>第2回</x:v>
      </x:c>
      <x:c r="D2" s="27" t="str">
        <x:v>山洞妖王</x:v>
      </x:c>
      <x:c r="E2" s="27" t="str">
        <x:v>花果山周边</x:v>
      </x:c>
      <x:c r="F2" s="27" t="str">
        <x:v>是</x:v>
      </x:c>
      <x:c r="G2" s="27" t="str">
        <x:v>未明/地方妖魔</x:v>
      </x:c>
      <x:c r="H2" s="27" t="str">
        <x:v>趁美猴王离山，占水帘洞、欺猴群，后被悟空打死。</x:v>
      </x:c>
      <x:c r="I2" s="27" t="str">
        <x:v>外部威胁；组织领袖离位后的治理真空。</x:v>
      </x:c>
      <x:c r="J2" s="27" t="str">
        <x:v>野生妖怪/地方强梁</x:v>
      </x:c>
      <x:c r="K2" s="27" t="str">
        <x:v>悟空武力清除</x:v>
      </x:c>
      <x:c r="L2" s="27" t="str">
        <x:v>待校核原文</x:v>
      </x:c>
      <x:c r="M2" s="27" t="str">
        <x:v>https://zh.wikisource.org/wiki/%E8%A5%BF%E9%81%8A%E8%A8%98/%E7%AC%AC%E4%BA%8C%E5%9B%9E</x:v>
      </x:c>
      <x:c r="N2" s="27" t="str">
        <x:v>前七回中较明确的妖魔角色。</x:v>
      </x:c>
    </x:row>
    <x:row r="3" ht="52.79999923706055" hidden="0" customHeight="1">
      <x:c r="A3" s="27" t="str">
        <x:v>Y002</x:v>
      </x:c>
      <x:c r="B3" s="27" t="str">
        <x:v>四海龙王</x:v>
      </x:c>
      <x:c r="C3" s="27" t="str">
        <x:v>第3回</x:v>
      </x:c>
      <x:c r="D3" s="27" t="str">
        <x:v>龙族神祇/水府管理者</x:v>
      </x:c>
      <x:c r="E3" s="27" t="str">
        <x:v>龙宫系统</x:v>
      </x:c>
      <x:c r="F3" s="27" t="str">
        <x:v>否</x:v>
      </x:c>
      <x:c r="G3" s="27" t="str">
        <x:v>水域神权系统</x:v>
      </x:c>
      <x:c r="H3" s="27" t="str">
        <x:v>被孙悟空索取兵器披挂，向天庭告状。</x:v>
      </x:c>
      <x:c r="I3" s="27" t="str">
        <x:v>资源系统与地方神权；被强能力者挤压。</x:v>
      </x:c>
      <x:c r="J3" s="27" t="str">
        <x:v>神祇系统/被冲击秩序</x:v>
      </x:c>
      <x:c r="K3" s="27" t="str">
        <x:v>上奏天庭</x:v>
      </x:c>
      <x:c r="L3" s="27" t="str">
        <x:v>待校核原文</x:v>
      </x:c>
      <x:c r="M3" s="27" t="str">
        <x:v>https://zh.wikisource.org/wiki/%E8%A5%BF%E9%81%8A%E8%A8%98/%E7%AC%AC%E4%B8%89%E5%9B%9E</x:v>
      </x:c>
      <x:c r="N3" s="27" t="str">
        <x:v>不是妖怪，但进入权力结构表。</x:v>
      </x:c>
    </x:row>
    <x:row r="4" ht="52.79999923706055" hidden="0" customHeight="1">
      <x:c r="A4" s="27" t="str">
        <x:v>Y003</x:v>
      </x:c>
      <x:c r="B4" s="27" t="str">
        <x:v>十殿阎王</x:v>
      </x:c>
      <x:c r="C4" s="27" t="str">
        <x:v>第3回</x:v>
      </x:c>
      <x:c r="D4" s="27" t="str">
        <x:v>冥府官僚</x:v>
      </x:c>
      <x:c r="E4" s="27" t="str">
        <x:v>地府系统</x:v>
      </x:c>
      <x:c r="F4" s="27" t="str">
        <x:v>否</x:v>
      </x:c>
      <x:c r="G4" s="27" t="str">
        <x:v>冥府司法/生死簿系统</x:v>
      </x:c>
      <x:c r="H4" s="27" t="str">
        <x:v>孙悟空闹地府，勾销猴属名号，阎王上表告状。</x:v>
      </x:c>
      <x:c r="I4" s="27" t="str">
        <x:v>生死秩序被个体神通挑战。</x:v>
      </x:c>
      <x:c r="J4" s="27" t="str">
        <x:v>制度系统/司法秩序</x:v>
      </x:c>
      <x:c r="K4" s="27" t="str">
        <x:v>上奏天庭</x:v>
      </x:c>
      <x:c r="L4" s="27" t="str">
        <x:v>待校核原文</x:v>
      </x:c>
      <x:c r="M4" s="27" t="str">
        <x:v>https://zh.wikisource.org/wiki/%E8%A5%BF%E9%81%8A%E8%A8%98/%E7%AC%AC%E4%B8%89%E5%9B%9E</x:v>
      </x:c>
      <x:c r="N4" s="27" t="str">
        <x:v>建议后续另建“权力系统表”。</x:v>
      </x:c>
    </x:row>
    <x:row r="5" ht="39.599998474121094" hidden="0" customHeight="1">
      <x:c r="A5" s="27" t="str">
        <x:v>Y004</x:v>
      </x:c>
      <x:c r="B5" s="27" t="str">
        <x:v>孙悟空/齐天大圣</x:v>
      </x:c>
      <x:c r="C5" s="27" t="str">
        <x:v>第1-7回</x:v>
      </x:c>
      <x:c r="D5" s="27" t="str">
        <x:v>心猿/妖仙/护法前身</x:v>
      </x:c>
      <x:c r="E5" s="27" t="str">
        <x:v>花果山→天庭冲突系统</x:v>
      </x:c>
      <x:c r="F5" s="27" t="str">
        <x:v>争议/前期被天庭视为妖猴</x:v>
      </x:c>
      <x:c r="G5" s="27" t="str">
        <x:v>灵根所化，自修成道</x:v>
      </x:c>
      <x:c r="H5" s="27" t="str">
        <x:v>出世、学道、闹龙宫地府、大闹天宫、压五行山。</x:v>
      </x:c>
      <x:c r="I5" s="27" t="str">
        <x:v>心猿未定；能力、欲望、名分与秩序冲突的集中体。</x:v>
      </x:c>
      <x:c r="J5" s="27" t="str">
        <x:v>心性象征/反叛者/待规训护法</x:v>
      </x:c>
      <x:c r="K5" s="27" t="str">
        <x:v>如来压伏，后续由观音引入取经体系</x:v>
      </x:c>
      <x:c r="L5" s="27" t="str">
        <x:v>待校核原文</x:v>
      </x:c>
      <x:c r="M5" s="27" t="str">
        <x:v>https://zh.wikisource.org/wiki/%E8%A5%BF%E9%81%8A%E8%A8%98</x:v>
      </x:c>
      <x:c r="N5" s="27" t="str">
        <x:v>不宜简单归为妖怪，应作核心人物专题。</x:v>
      </x:c>
    </x:row>
    <x:row r="6" ht="52.79999923706055" hidden="0" customHeight="1">
      <x:c r="A6" s="27" t="str">
        <x:v>Y005</x:v>
      </x:c>
      <x:c r="B6" s="27" t="str">
        <x:v>天兵天将</x:v>
      </x:c>
      <x:c r="C6" s="27" t="str">
        <x:v>第5-6回</x:v>
      </x:c>
      <x:c r="D6" s="27" t="str">
        <x:v>天庭武力系统</x:v>
      </x:c>
      <x:c r="E6" s="27" t="str">
        <x:v>天庭系统</x:v>
      </x:c>
      <x:c r="F6" s="27" t="str">
        <x:v>否</x:v>
      </x:c>
      <x:c r="G6" s="27" t="str">
        <x:v>玉帝调度</x:v>
      </x:c>
      <x:c r="H6" s="27" t="str">
        <x:v>奉命围剿花果山与孙悟空。</x:v>
      </x:c>
      <x:c r="I6" s="27" t="str">
        <x:v>组织武力与制度权威。</x:v>
      </x:c>
      <x:c r="J6" s="27" t="str">
        <x:v>制度执行者</x:v>
      </x:c>
      <x:c r="K6" s="27" t="str">
        <x:v>围剿/协同作战</x:v>
      </x:c>
      <x:c r="L6" s="27" t="str">
        <x:v>待校核原文</x:v>
      </x:c>
      <x:c r="M6" s="27" t="str">
        <x:v>https://zh.wikisource.org/wiki/%E8%A5%BF%E9%81%8A%E8%A8%98/%E7%AC%AC%E4%BA%94%E5%9B%9E</x:v>
      </x:c>
      <x:c r="N6" s="27" t="str">
        <x:v>不是妖怪，但便于建立关系图谱。</x:v>
      </x:c>
    </x:row>
    <x:row r="7" ht="52.79999923706055" hidden="0" customHeight="1">
      <x:c r="A7" s="27" t="str">
        <x:v>Y006</x:v>
      </x:c>
      <x:c r="B7" s="27" t="str">
        <x:v>二郎神</x:v>
      </x:c>
      <x:c r="C7" s="27" t="str">
        <x:v>第6回</x:v>
      </x:c>
      <x:c r="D7" s="27" t="str">
        <x:v>神将/外部强援</x:v>
      </x:c>
      <x:c r="E7" s="27" t="str">
        <x:v>天庭—灌江口系统</x:v>
      </x:c>
      <x:c r="F7" s="27" t="str">
        <x:v>否</x:v>
      </x:c>
      <x:c r="G7" s="27" t="str">
        <x:v>玉帝外甥/听调不听宣的形象</x:v>
      </x:c>
      <x:c r="H7" s="27" t="str">
        <x:v>与孙悟空斗法并配合诸神降伏。</x:v>
      </x:c>
      <x:c r="I7" s="27" t="str">
        <x:v>同等能力者的镜像对照；协同治理关键角色。</x:v>
      </x:c>
      <x:c r="J7" s="27" t="str">
        <x:v>神祇系统/镜像对手</x:v>
      </x:c>
      <x:c r="K7" s="27" t="str">
        <x:v>斗法降伏</x:v>
      </x:c>
      <x:c r="L7" s="27" t="str">
        <x:v>待校核原文</x:v>
      </x:c>
      <x:c r="M7" s="27" t="str">
        <x:v>https://zh.wikisource.org/wiki/%E8%A5%BF%E9%81%8A%E8%A8%98/%E7%AC%AC%E5%85%AD%E5%9B%9E</x:v>
      </x:c>
      <x:c r="N7" s="27" t="str">
        <x:v>可用于“二郎神与悟空比较”。</x:v>
      </x:c>
    </x:row>
    <x:row r="8" ht="52.79999923706055" hidden="0" customHeight="1">
      <x:c r="A8" s="27" t="str">
        <x:v>Y007</x:v>
      </x:c>
      <x:c r="B8" s="27" t="str">
        <x:v>如来佛祖</x:v>
      </x:c>
      <x:c r="C8" s="27" t="str">
        <x:v>第7回</x:v>
      </x:c>
      <x:c r="D8" s="27" t="str">
        <x:v>最高层级裁定者</x:v>
      </x:c>
      <x:c r="E8" s="27" t="str">
        <x:v>灵山系统</x:v>
      </x:c>
      <x:c r="F8" s="27" t="str">
        <x:v>否</x:v>
      </x:c>
      <x:c r="G8" s="27" t="str">
        <x:v>佛教秩序中心</x:v>
      </x:c>
      <x:c r="H8" s="27" t="str">
        <x:v>与孙悟空赌赛，压其于五行山。</x:v>
      </x:c>
      <x:c r="I8" s="27" t="str">
        <x:v>更高合法性与终局裁断。</x:v>
      </x:c>
      <x:c r="J8" s="27" t="str">
        <x:v>佛教系统/终局权威</x:v>
      </x:c>
      <x:c r="K8" s="27" t="str">
        <x:v>压伏并设后续转化伏笔</x:v>
      </x:c>
      <x:c r="L8" s="27" t="str">
        <x:v>待校核原文</x:v>
      </x:c>
      <x:c r="M8" s="27" t="str">
        <x:v>https://zh.wikisource.org/wiki/%E8%A5%BF%E9%81%8A%E8%A8%98/%E7%AC%AC%E4%B8%83%E5%9B%9E</x:v>
      </x:c>
      <x:c r="N8" s="27" t="str">
        <x:v>后续取经任务的最高背景。</x:v>
      </x:c>
    </x:row>
    <x:row r="9" ht="52.79999923706055" hidden="0" customHeight="1">
      <x:c r="A9" s="27" t="str">
        <x:v>Y008</x:v>
      </x:c>
      <x:c r="B9" s="27" t="str">
        <x:v>沙悟净/卷帘大将</x:v>
      </x:c>
      <x:c r="C9" s="27" t="str">
        <x:v>第8回</x:v>
      </x:c>
      <x:c r="D9" s="27" t="str">
        <x:v>贬谪神将/未来护法</x:v>
      </x:c>
      <x:c r="E9" s="27" t="str">
        <x:v>天庭旧职→流沙河→取经团队</x:v>
      </x:c>
      <x:c r="F9" s="27" t="str">
        <x:v>否/前期为水怪形象</x:v>
      </x:c>
      <x:c r="G9" s="27" t="str">
        <x:v>卷帘大将被贬</x:v>
      </x:c>
      <x:c r="H9" s="27" t="str">
        <x:v>观音点化其等候取经人。</x:v>
      </x:c>
      <x:c r="I9" s="27" t="str">
        <x:v>失职受罚后的再安置；沉默执行者的前史。</x:v>
      </x:c>
      <x:c r="J9" s="27" t="str">
        <x:v>护法预备/贬谪者</x:v>
      </x:c>
      <x:c r="K9" s="27" t="str">
        <x:v>观音点化</x:v>
      </x:c>
      <x:c r="L9" s="27" t="str">
        <x:v>待校核原文</x:v>
      </x:c>
      <x:c r="M9" s="27" t="str">
        <x:v>https://zh.wikisource.org/wiki/%E8%A5%BF%E9%81%8A%E8%A8%98/%E7%AC%AC%E5%85%AB%E5%9B%9E</x:v>
      </x:c>
      <x:c r="N9" s="27" t="str">
        <x:v>第22回正式收为沙僧。</x:v>
      </x:c>
    </x:row>
    <x:row r="10" ht="52.79999923706055" hidden="0" customHeight="1">
      <x:c r="A10" s="27" t="str">
        <x:v>Y009</x:v>
      </x:c>
      <x:c r="B10" s="27" t="str">
        <x:v>猪刚鬣/猪八戒</x:v>
      </x:c>
      <x:c r="C10" s="27" t="str">
        <x:v>第8回</x:v>
      </x:c>
      <x:c r="D10" s="27" t="str">
        <x:v>贬谪天将/未来护法</x:v>
      </x:c>
      <x:c r="E10" s="27" t="str">
        <x:v>天庭旧职→福陵山云栈洞→取经团队</x:v>
      </x:c>
      <x:c r="F10" s="27" t="str">
        <x:v>否/前期为妖怪化形象</x:v>
      </x:c>
      <x:c r="G10" s="27" t="str">
        <x:v>天蓬元帅被贬</x:v>
      </x:c>
      <x:c r="H10" s="27" t="str">
        <x:v>观音点化其等候取经人。</x:v>
      </x:c>
      <x:c r="I10" s="27" t="str">
        <x:v>欲望、人性与组织可用性的复杂统一。</x:v>
      </x:c>
      <x:c r="J10" s="27" t="str">
        <x:v>护法预备/贬谪者/欲望象征</x:v>
      </x:c>
      <x:c r="K10" s="27" t="str">
        <x:v>观音点化</x:v>
      </x:c>
      <x:c r="L10" s="27" t="str">
        <x:v>待校核原文</x:v>
      </x:c>
      <x:c r="M10" s="27" t="str">
        <x:v>https://zh.wikisource.org/wiki/%E8%A5%BF%E9%81%8A%E8%A8%98/%E7%AC%AC%E5%85%AB%E5%9B%9E</x:v>
      </x:c>
      <x:c r="N10" s="27" t="str">
        <x:v>第19回正式收为八戒。</x:v>
      </x:c>
    </x:row>
    <x:row r="11" ht="52.79999923706055" hidden="0" customHeight="1">
      <x:c r="A11" s="27" t="str">
        <x:v>Y010</x:v>
      </x:c>
      <x:c r="B11" s="27" t="str">
        <x:v>小白龙</x:v>
      </x:c>
      <x:c r="C11" s="27" t="str">
        <x:v>第8回</x:v>
      </x:c>
      <x:c r="D11" s="27" t="str">
        <x:v>龙族罪人/未来脚力</x:v>
      </x:c>
      <x:c r="E11" s="27" t="str">
        <x:v>西海龙宫→鹰愁涧→取经团队</x:v>
      </x:c>
      <x:c r="F11" s="27" t="str">
        <x:v>否/前期为龙怪形象</x:v>
      </x:c>
      <x:c r="G11" s="27" t="str">
        <x:v>西海龙王之子获罪</x:v>
      </x:c>
      <x:c r="H11" s="27" t="str">
        <x:v>观音点化其等待取经人。</x:v>
      </x:c>
      <x:c r="I11" s="27" t="str">
        <x:v>交通承载与沉默贡献的前史。</x:v>
      </x:c>
      <x:c r="J11" s="27" t="str">
        <x:v>护法预备/龙族系统</x:v>
      </x:c>
      <x:c r="K11" s="27" t="str">
        <x:v>观音点化</x:v>
      </x:c>
      <x:c r="L11" s="27" t="str">
        <x:v>待校核原文</x:v>
      </x:c>
      <x:c r="M11" s="27" t="str">
        <x:v>https://zh.wikisource.org/wiki/%E8%A5%BF%E9%81%8A%E8%A8%98/%E7%AC%AC%E5%85%AB%E5%9B%9E</x:v>
      </x:c>
      <x:c r="N11" s="27" t="str">
        <x:v>第15回化为白马。</x:v>
      </x:c>
    </x:row>
    <x:row r="12" ht="52.79999923706055" hidden="0" customHeight="1">
      <x:c r="A12" s="27" t="str">
        <x:v>Y011</x:v>
      </x:c>
      <x:c r="B12" s="27" t="str">
        <x:v>泾河龙王</x:v>
      </x:c>
      <x:c r="C12" s="27" t="str">
        <x:v>第10-11回</x:v>
      </x:c>
      <x:c r="D12" s="27" t="str">
        <x:v>龙族神祇/犯律者</x:v>
      </x:c>
      <x:c r="E12" s="27" t="str">
        <x:v>水府/天条系统</x:v>
      </x:c>
      <x:c r="F12" s="27" t="str">
        <x:v>否</x:v>
      </x:c>
      <x:c r="G12" s="27" t="str">
        <x:v>司雨龙王</x:v>
      </x:c>
      <x:c r="H12" s="27" t="str">
        <x:v>私改降雨时辰点数，触犯天条，被魏征梦斩。</x:v>
      </x:c>
      <x:c r="I12" s="27" t="str">
        <x:v>侥幸心理与制度红线。</x:v>
      </x:c>
      <x:c r="J12" s="27" t="str">
        <x:v>制度违令者/水神系统</x:v>
      </x:c>
      <x:c r="K12" s="27" t="str">
        <x:v>依法斩首，冤魂牵出太宗入冥</x:v>
      </x:c>
      <x:c r="L12" s="27" t="str">
        <x:v>待校核原文</x:v>
      </x:c>
      <x:c r="M12" s="27" t="str">
        <x:v>https://zh.wikisource.org/wiki/%E8%A5%BF%E9%81%8A%E8%A8%98/%E7%AC%AC%E5%8D%81%E5%9B%9E</x:v>
      </x:c>
      <x:c r="N12" s="27" t="str">
        <x:v>可与供水、雨水、天条秩序作文化类比，但需避免牵强。</x:v>
      </x:c>
    </x:row>
    <x:row r="13" ht="52.79999923706055" hidden="0" customHeight="1">
      <x:c r="A13" s="27" t="str">
        <x:v>Y012</x:v>
      </x:c>
      <x:c r="B13" s="27" t="str">
        <x:v>袁守诚</x:v>
      </x:c>
      <x:c r="C13" s="27" t="str">
        <x:v>第10回</x:v>
      </x:c>
      <x:c r="D13" s="27" t="str">
        <x:v>术士/神算者</x:v>
      </x:c>
      <x:c r="E13" s="27" t="str">
        <x:v>人间异人</x:v>
      </x:c>
      <x:c r="F13" s="27" t="str">
        <x:v>否</x:v>
      </x:c>
      <x:c r="G13" s="27" t="str">
        <x:v>精通术数</x:v>
      </x:c>
      <x:c r="H13" s="27" t="str">
        <x:v>与泾河龙王斗算降雨。</x:v>
      </x:c>
      <x:c r="I13" s="27" t="str">
        <x:v>知识权威触发制度事件。</x:v>
      </x:c>
      <x:c r="J13" s="27" t="str">
        <x:v>术数人物/因果触发者</x:v>
      </x:c>
      <x:c r="K13" s="27" t="str">
        <x:v>算定天机</x:v>
      </x:c>
      <x:c r="L13" s="27" t="str">
        <x:v>待校核原文</x:v>
      </x:c>
      <x:c r="M13" s="27" t="str">
        <x:v>https://zh.wikisource.org/wiki/%E8%A5%BF%E9%81%8A%E8%A8%98/%E7%AC%AC%E5%8D%81%E5%9B%9E</x:v>
      </x:c>
      <x:c r="N13" s="27" t="str">
        <x:v>不是妖怪，但属于关键触发人物。</x:v>
      </x:c>
    </x:row>
    <x:row r="14" ht="66" hidden="0" customHeight="1">
      <x:c r="A14" s="27" t="str">
        <x:v>Y013</x:v>
      </x:c>
      <x:c r="B14" s="27" t="str">
        <x:v>寅将军</x:v>
      </x:c>
      <x:c r="C14" s="27" t="str">
        <x:v>第13回</x:v>
      </x:c>
      <x:c r="D14" s="27" t="str">
        <x:v>山野妖魔</x:v>
      </x:c>
      <x:c r="E14" s="27" t="str">
        <x:v>双叉岭妖怪系统</x:v>
      </x:c>
      <x:c r="F14" s="27" t="str">
        <x:v>是</x:v>
      </x:c>
      <x:c r="G14" s="27" t="str">
        <x:v>未明/虎类妖魔</x:v>
      </x:c>
      <x:c r="H14" s="27" t="str">
        <x:v>劫持唐僧一行，随从遇害。</x:v>
      </x:c>
      <x:c r="I14" s="27" t="str">
        <x:v>取经初期的现实恐惧和野蛮力量。</x:v>
      </x:c>
      <x:c r="J14" s="27" t="str">
        <x:v>野生妖怪/身体难</x:v>
      </x:c>
      <x:c r="K14" s="27" t="str">
        <x:v>太白金星解厄</x:v>
      </x:c>
      <x:c r="L14" s="27" t="str">
        <x:v>待校核原文</x:v>
      </x:c>
      <x:c r="M14" s="27" t="str">
        <x:v>https://zh.wikisource.org/wiki/%E8%A5%BF%E9%81%8A%E8%A8%98/%E7%AC%AC%E5%8D%81%E4%B8%89%E5%9B%9E</x:v>
      </x:c>
      <x:c r="N14" s="27" t="str">
        <x:v>正式取经路早期妖魔。</x:v>
      </x:c>
    </x:row>
    <x:row r="15" ht="66" hidden="0" customHeight="1">
      <x:c r="A15" s="27" t="str">
        <x:v>Y014</x:v>
      </x:c>
      <x:c r="B15" s="27" t="str">
        <x:v>熊山君</x:v>
      </x:c>
      <x:c r="C15" s="27" t="str">
        <x:v>第13回</x:v>
      </x:c>
      <x:c r="D15" s="27" t="str">
        <x:v>山野妖魔</x:v>
      </x:c>
      <x:c r="E15" s="27" t="str">
        <x:v>双叉岭妖怪系统</x:v>
      </x:c>
      <x:c r="F15" s="27" t="str">
        <x:v>是</x:v>
      </x:c>
      <x:c r="G15" s="27" t="str">
        <x:v>未明/熊类妖魔</x:v>
      </x:c>
      <x:c r="H15" s="27" t="str">
        <x:v>与寅将军等同场出现，构成初难妖群。</x:v>
      </x:c>
      <x:c r="I15" s="27" t="str">
        <x:v>荒野威胁与未开化力量。</x:v>
      </x:c>
      <x:c r="J15" s="27" t="str">
        <x:v>野生妖怪/外部妖魔难</x:v>
      </x:c>
      <x:c r="K15" s="27" t="str">
        <x:v>太白金星解厄</x:v>
      </x:c>
      <x:c r="L15" s="27" t="str">
        <x:v>待校核原文</x:v>
      </x:c>
      <x:c r="M15" s="27" t="str">
        <x:v>https://zh.wikisource.org/wiki/%E8%A5%BF%E9%81%8A%E8%A8%98/%E7%AC%AC%E5%8D%81%E4%B8%89%E5%9B%9E</x:v>
      </x:c>
      <x:c r="N15" s="27" t="str">
        <x:v>与寅将军、特处士合并研究。</x:v>
      </x:c>
    </x:row>
    <x:row r="16" ht="66" hidden="0" customHeight="1">
      <x:c r="A16" s="27" t="str">
        <x:v>Y015</x:v>
      </x:c>
      <x:c r="B16" s="27" t="str">
        <x:v>特处士</x:v>
      </x:c>
      <x:c r="C16" s="27" t="str">
        <x:v>第13回</x:v>
      </x:c>
      <x:c r="D16" s="27" t="str">
        <x:v>山野妖魔</x:v>
      </x:c>
      <x:c r="E16" s="27" t="str">
        <x:v>双叉岭妖怪系统</x:v>
      </x:c>
      <x:c r="F16" s="27" t="str">
        <x:v>是</x:v>
      </x:c>
      <x:c r="G16" s="27" t="str">
        <x:v>未明/兽类妖魔</x:v>
      </x:c>
      <x:c r="H16" s="27" t="str">
        <x:v>与寅将军等同场出现。</x:v>
      </x:c>
      <x:c r="I16" s="27" t="str">
        <x:v>披着名号的野蛮力量。</x:v>
      </x:c>
      <x:c r="J16" s="27" t="str">
        <x:v>野生妖怪/外部妖魔难</x:v>
      </x:c>
      <x:c r="K16" s="27" t="str">
        <x:v>太白金星解厄</x:v>
      </x:c>
      <x:c r="L16" s="27" t="str">
        <x:v>待校核原文</x:v>
      </x:c>
      <x:c r="M16" s="27" t="str">
        <x:v>https://zh.wikisource.org/wiki/%E8%A5%BF%E9%81%8A%E8%A8%98/%E7%AC%AC%E5%8D%81%E4%B8%89%E5%9B%9E</x:v>
      </x:c>
      <x:c r="N16" s="27" t="str">
        <x:v>名称有讽刺意味，可纳入语言趣味。</x:v>
      </x:c>
    </x:row>
    <x:row r="17" ht="66" hidden="0" customHeight="1">
      <x:c r="A17" s="27" t="str">
        <x:v>Y016</x:v>
      </x:c>
      <x:c r="B17" s="27" t="str">
        <x:v>六贼</x:v>
      </x:c>
      <x:c r="C17" s="27" t="str">
        <x:v>第14回</x:v>
      </x:c>
      <x:c r="D17" s="27" t="str">
        <x:v>盗贼/象征性障碍</x:v>
      </x:c>
      <x:c r="E17" s="27" t="str">
        <x:v>取经路人间边缘</x:v>
      </x:c>
      <x:c r="F17" s="27" t="str">
        <x:v>否/可象征心魔</x:v>
      </x:c>
      <x:c r="G17" s="27" t="str">
        <x:v>人间强盗</x:v>
      </x:c>
      <x:c r="H17" s="27" t="str">
        <x:v>被孙悟空打死，引发唐僧与悟空冲突。</x:v>
      </x:c>
      <x:c r="I17" s="27" t="str">
        <x:v>六根、六欲、外贼与内贼的双重阐释空间。</x:v>
      </x:c>
      <x:c r="J17" s="27" t="str">
        <x:v>心魔象征/团队磨合难</x:v>
      </x:c>
      <x:c r="K17" s="27" t="str">
        <x:v>悟空武力清除；观音以紧箍咒规训悟空</x:v>
      </x:c>
      <x:c r="L17" s="27" t="str">
        <x:v>待校核原文</x:v>
      </x:c>
      <x:c r="M17" s="27" t="str">
        <x:v>https://zh.wikisource.org/wiki/%E8%A5%BF%E9%81%8A%E8%A8%98/%E7%AC%AC%E5%8D%81%E5%9B%9B%E5%9B%9E</x:v>
      </x:c>
      <x:c r="N17" s="27" t="str">
        <x:v>不宜简单归为妖怪，是专题研究重点。</x:v>
      </x:c>
    </x:row>
    <x:row r="18" ht="66" hidden="0" customHeight="1">
      <x:c r="A18" s="27" t="str">
        <x:v>Y017</x:v>
      </x:c>
      <x:c r="B18" s="27" t="str">
        <x:v>太白金星</x:v>
      </x:c>
      <x:c r="C18" s="27" t="str">
        <x:v>第13回</x:v>
      </x:c>
      <x:c r="D18" s="27" t="str">
        <x:v>天庭救援者</x:v>
      </x:c>
      <x:c r="E18" s="27" t="str">
        <x:v>天庭系统</x:v>
      </x:c>
      <x:c r="F18" s="27" t="str">
        <x:v>否</x:v>
      </x:c>
      <x:c r="G18" s="27" t="str">
        <x:v>天庭神祇</x:v>
      </x:c>
      <x:c r="H18" s="27" t="str">
        <x:v>在双叉岭救唐僧脱险。</x:v>
      </x:c>
      <x:c r="I18" s="27" t="str">
        <x:v>早期护持与外部救援机制。</x:v>
      </x:c>
      <x:c r="J18" s="27" t="str">
        <x:v>神祇系统/救援节点</x:v>
      </x:c>
      <x:c r="K18" s="27" t="str">
        <x:v>解厄救护</x:v>
      </x:c>
      <x:c r="L18" s="27" t="str">
        <x:v>待校核原文</x:v>
      </x:c>
      <x:c r="M18" s="27" t="str">
        <x:v>https://zh.wikisource.org/wiki/%E8%A5%BF%E9%81%8A%E8%A8%98/%E7%AC%AC%E5%8D%81%E4%B8%89%E5%9B%9E</x:v>
      </x:c>
      <x:c r="N18" s="27" t="str">
        <x:v>与第4回招安孙悟空的太白金星形成对照。</x:v>
      </x:c>
    </x:row>
    <x:row r="19" ht="26.399999618530273" hidden="0" customHeight="1">
      <x:c r="A19" s="27" t="str">
        <x:v>Y018</x:v>
      </x:c>
      <x:c r="B19" s="27" t="str">
        <x:v>小白龙/玉龙三太子</x:v>
      </x:c>
      <x:c r="C19" s="27" t="str">
        <x:v>第15回</x:v>
      </x:c>
      <x:c r="D19" s="27" t="str">
        <x:v>龙族王子/护法坐骑</x:v>
      </x:c>
      <x:c r="E19" s="27" t="str">
        <x:v>西海龙宫→取经团队</x:v>
      </x:c>
      <x:c r="F19" s="27" t="str">
        <x:v>否/前期阻碍</x:v>
      </x:c>
      <x:c r="G19" s="27" t="str">
        <x:v>西海龙王之子，观音点化</x:v>
      </x:c>
      <x:c r="H19" s="27" t="str">
        <x:v>吞唐僧白马，后化为白马护送取经。</x:v>
      </x:c>
      <x:c r="I19" s="27" t="str">
        <x:v>意马收缰；从犯错受罚到长期承载。</x:v>
      </x:c>
      <x:c r="J19" s="27" t="str">
        <x:v>护法成员/承载系统</x:v>
      </x:c>
      <x:c r="K19" s="27" t="str">
        <x:v>观音点化归队</x:v>
      </x:c>
      <x:c r="L19" s="27" t="str">
        <x:v>待校核原文</x:v>
      </x:c>
      <x:c r="M19" s="27" t="str">
        <x:v>https://zh.wikisource.org/wiki/西游记/第十五回</x:v>
      </x:c>
      <x:c r="N19" s="27" t="str">
        <x:v>不是普通坐骑，是团队基础设施。</x:v>
      </x:c>
    </x:row>
    <x:row r="20" ht="26.399999618530273" hidden="0" customHeight="1">
      <x:c r="A20" s="27" t="str">
        <x:v>Y019</x:v>
      </x:c>
      <x:c r="B20" s="27" t="str">
        <x:v>金池长老</x:v>
      </x:c>
      <x:c r="C20" s="27" t="str">
        <x:v>第16回</x:v>
      </x:c>
      <x:c r="D20" s="27" t="str">
        <x:v>寺院长老/贪欲人物</x:v>
      </x:c>
      <x:c r="E20" s="27" t="str">
        <x:v>观音院</x:v>
      </x:c>
      <x:c r="F20" s="27" t="str">
        <x:v>否</x:v>
      </x:c>
      <x:c r="G20" s="27" t="str">
        <x:v>佛门场所内部人物</x:v>
      </x:c>
      <x:c r="H20" s="27" t="str">
        <x:v>见袈裟起贪念，谋害唐僧师徒。</x:v>
      </x:c>
      <x:c r="I20" s="27" t="str">
        <x:v>名相贪欲；制度场景中的道德失守。</x:v>
      </x:c>
      <x:c r="J20" s="27" t="str">
        <x:v>人性风险/内部风险</x:v>
      </x:c>
      <x:c r="K20" s="27" t="str">
        <x:v>事败自尽/寺院受焚</x:v>
      </x:c>
      <x:c r="L20" s="27" t="str">
        <x:v>待校核原文</x:v>
      </x:c>
      <x:c r="M20" s="27" t="str">
        <x:v>https://zh.wikisource.org/wiki/西游记/第十六回</x:v>
      </x:c>
      <x:c r="N20" s="27" t="str">
        <x:v>不是妖怪，但比妖更能引出风险。</x:v>
      </x:c>
    </x:row>
    <x:row r="21" ht="26.399999618530273" hidden="0" customHeight="1">
      <x:c r="A21" s="27" t="str">
        <x:v>Y020</x:v>
      </x:c>
      <x:c r="B21" s="27" t="str">
        <x:v>黑熊精/熊罴怪</x:v>
      </x:c>
      <x:c r="C21" s="27" t="str">
        <x:v>第16—17回</x:v>
      </x:c>
      <x:c r="D21" s="27" t="str">
        <x:v>山洞妖怪</x:v>
      </x:c>
      <x:c r="E21" s="27" t="str">
        <x:v>黑风山</x:v>
      </x:c>
      <x:c r="F21" s="27" t="str">
        <x:v>是</x:v>
      </x:c>
      <x:c r="G21" s="27" t="str">
        <x:v>地方妖怪，后被观音收为守山大神</x:v>
      </x:c>
      <x:c r="H21" s="27" t="str">
        <x:v>盗取袈裟，与悟空周旋，后被观音收伏。</x:v>
      </x:c>
      <x:c r="I21" s="27" t="str">
        <x:v>贪宝之心可被转化为护法之力。</x:v>
      </x:c>
      <x:c r="J21" s="27" t="str">
        <x:v>野生妖怪/可收编对象</x:v>
      </x:c>
      <x:c r="K21" s="27" t="str">
        <x:v>观音收伏并安置</x:v>
      </x:c>
      <x:c r="L21" s="27" t="str">
        <x:v>待校核原文</x:v>
      </x:c>
      <x:c r="M21" s="27" t="str">
        <x:v>https://zh.wikisource.org/wiki/西游记/第十七回</x:v>
      </x:c>
      <x:c r="N21" s="27" t="str">
        <x:v>“消灭”之外的治理样本。</x:v>
      </x:c>
    </x:row>
    <x:row r="22" ht="26.399999618530273" hidden="0" customHeight="1">
      <x:c r="A22" s="27" t="str">
        <x:v>Y021</x:v>
      </x:c>
      <x:c r="B22" s="27" t="str">
        <x:v>白衣秀士</x:v>
      </x:c>
      <x:c r="C22" s="27" t="str">
        <x:v>第17回</x:v>
      </x:c>
      <x:c r="D22" s="27" t="str">
        <x:v>蛇精/妖友</x:v>
      </x:c>
      <x:c r="E22" s="27" t="str">
        <x:v>黑风山朋友圈</x:v>
      </x:c>
      <x:c r="F22" s="27" t="str">
        <x:v>是</x:v>
      </x:c>
      <x:c r="G22" s="27" t="str">
        <x:v>黑风山妖怪圈层</x:v>
      </x:c>
      <x:c r="H22" s="27" t="str">
        <x:v>与黑熊精往来，参与袈裟庆会相关情节。</x:v>
      </x:c>
      <x:c r="I22" s="27" t="str">
        <x:v>妖怪也有社交网络与利益圈层。</x:v>
      </x:c>
      <x:c r="J22" s="27" t="str">
        <x:v>妖怪关系网络</x:v>
      </x:c>
      <x:c r="K22" s="27" t="str">
        <x:v>被悟空打杀/处理</x:v>
      </x:c>
      <x:c r="L22" s="27" t="str">
        <x:v>待校核原文</x:v>
      </x:c>
      <x:c r="M22" s="27" t="str">
        <x:v>https://zh.wikisource.org/wiki/西游记/第十七回</x:v>
      </x:c>
      <x:c r="N22" s="27" t="str">
        <x:v>可用于妖怪社交图谱。</x:v>
      </x:c>
    </x:row>
    <x:row r="23" ht="26.399999618530273" hidden="0" customHeight="1">
      <x:c r="A23" s="27" t="str">
        <x:v>Y022</x:v>
      </x:c>
      <x:c r="B23" s="27" t="str">
        <x:v>凌虚子</x:v>
      </x:c>
      <x:c r="C23" s="27" t="str">
        <x:v>第17回</x:v>
      </x:c>
      <x:c r="D23" s="27" t="str">
        <x:v>苍狼精/妖友</x:v>
      </x:c>
      <x:c r="E23" s="27" t="str">
        <x:v>黑风山朋友圈</x:v>
      </x:c>
      <x:c r="F23" s="27" t="str">
        <x:v>是</x:v>
      </x:c>
      <x:c r="G23" s="27" t="str">
        <x:v>黑风山妖怪圈层</x:v>
      </x:c>
      <x:c r="H23" s="27" t="str">
        <x:v>与黑熊精相交，受邀参与佛衣会。</x:v>
      </x:c>
      <x:c r="I23" s="27" t="str">
        <x:v>妖怪世界存在拟人化礼仪与圈层。</x:v>
      </x:c>
      <x:c r="J23" s="27" t="str">
        <x:v>妖怪关系网络</x:v>
      </x:c>
      <x:c r="K23" s="27" t="str">
        <x:v>被悟空处理</x:v>
      </x:c>
      <x:c r="L23" s="27" t="str">
        <x:v>待校核原文</x:v>
      </x:c>
      <x:c r="M23" s="27" t="str">
        <x:v>https://zh.wikisource.org/wiki/西游记/第十七回</x:v>
      </x:c>
      <x:c r="N23" s="27" t="str">
        <x:v>与白衣秀士成组研究。</x:v>
      </x:c>
    </x:row>
    <x:row r="24" ht="26.399999618530273" hidden="0" customHeight="1">
      <x:c r="A24" s="27" t="str">
        <x:v>Y023</x:v>
      </x:c>
      <x:c r="B24" s="27" t="str">
        <x:v>猪刚鬣/猪悟能/猪八戒</x:v>
      </x:c>
      <x:c r="C24" s="27" t="str">
        <x:v>第18—19回</x:v>
      </x:c>
      <x:c r="D24" s="27" t="str">
        <x:v>贬谪天神/取经护法</x:v>
      </x:c>
      <x:c r="E24" s="27" t="str">
        <x:v>天庭贬谪→取经团队</x:v>
      </x:c>
      <x:c r="F24" s="27" t="str">
        <x:v>否/前期以妖形出场</x:v>
      </x:c>
      <x:c r="G24" s="27" t="str">
        <x:v>原天蓬元帅，观音点化</x:v>
      </x:c>
      <x:c r="H24" s="27" t="str">
        <x:v>在高老庄招亲作乱，被悟空收伏归队。</x:v>
      </x:c>
      <x:c r="I24" s="27" t="str">
        <x:v>欲望、人性、俗世牵挂与可转化能力。</x:v>
      </x:c>
      <x:c r="J24" s="27" t="str">
        <x:v>团队成员/人性象征</x:v>
      </x:c>
      <x:c r="K24" s="27" t="str">
        <x:v>悟空收伏，唐僧赐戒名</x:v>
      </x:c>
      <x:c r="L24" s="27" t="str">
        <x:v>待校核原文</x:v>
      </x:c>
      <x:c r="M24" s="27" t="str">
        <x:v>https://zh.wikisource.org/wiki/西游记/第十九回</x:v>
      </x:c>
      <x:c r="N24" s="27" t="str">
        <x:v>研究猪八戒的核心入口。</x:v>
      </x:c>
    </x:row>
    <x:row r="25" ht="26.399999618530273" hidden="0" customHeight="1">
      <x:c r="A25" s="27" t="str">
        <x:v>Y024</x:v>
      </x:c>
      <x:c r="B25" s="27" t="str">
        <x:v>乌巢禅师</x:v>
      </x:c>
      <x:c r="C25" s="27" t="str">
        <x:v>第19回</x:v>
      </x:c>
      <x:c r="D25" s="27" t="str">
        <x:v>禅师/神秘指点者</x:v>
      </x:c>
      <x:c r="E25" s="27" t="str">
        <x:v>佛门/山林高人</x:v>
      </x:c>
      <x:c r="F25" s="27" t="str">
        <x:v>否</x:v>
      </x:c>
      <x:c r="G25" s="27" t="str">
        <x:v>未明高人系统</x:v>
      </x:c>
      <x:c r="H25" s="27" t="str">
        <x:v>向唐僧传授《心经》。</x:v>
      </x:c>
      <x:c r="I25" s="27" t="str">
        <x:v>内在心法进入取经工程。</x:v>
      </x:c>
      <x:c r="J25" s="27" t="str">
        <x:v>导师型人物/心法系统</x:v>
      </x:c>
      <x:c r="K25" s="27" t="str">
        <x:v>传经指点</x:v>
      </x:c>
      <x:c r="L25" s="27" t="str">
        <x:v>待校核原文</x:v>
      </x:c>
      <x:c r="M25" s="27" t="str">
        <x:v>https://zh.wikisource.org/wiki/西游记/第十九回</x:v>
      </x:c>
      <x:c r="N25" s="27" t="str">
        <x:v>需谨慎考据其身份解释。</x:v>
      </x:c>
    </x:row>
    <x:row r="26" ht="26.399999618530273" hidden="0" customHeight="1">
      <x:c r="A26" s="27" t="str">
        <x:v>Y025</x:v>
      </x:c>
      <x:c r="B26" s="27" t="str">
        <x:v>虎先锋</x:v>
      </x:c>
      <x:c r="C26" s="27" t="str">
        <x:v>第20回</x:v>
      </x:c>
      <x:c r="D26" s="27" t="str">
        <x:v>妖怪先锋</x:v>
      </x:c>
      <x:c r="E26" s="27" t="str">
        <x:v>黄风怪部属</x:v>
      </x:c>
      <x:c r="F26" s="27" t="str">
        <x:v>是</x:v>
      </x:c>
      <x:c r="G26" s="27" t="str">
        <x:v>黄风岭妖怪系统</x:v>
      </x:c>
      <x:c r="H26" s="27" t="str">
        <x:v>摄唐僧、误导八戒与悟空，推动黄风岭之难。</x:v>
      </x:c>
      <x:c r="I26" s="27" t="str">
        <x:v>风险前哨；组织中的执行层妖怪。</x:v>
      </x:c>
      <x:c r="J26" s="27" t="str">
        <x:v>妖怪部属/诱捕者</x:v>
      </x:c>
      <x:c r="K26" s="27" t="str">
        <x:v>被悟空等处理</x:v>
      </x:c>
      <x:c r="L26" s="27" t="str">
        <x:v>待校核原文</x:v>
      </x:c>
      <x:c r="M26" s="27" t="str">
        <x:v>https://zh.wikisource.org/wiki/西游记/第二十回</x:v>
      </x:c>
      <x:c r="N26" s="27" t="str">
        <x:v>可与后续各洞府先锋比较。</x:v>
      </x:c>
    </x:row>
    <x:row r="27" ht="26.399999618530273" hidden="0" customHeight="1">
      <x:c r="A27" s="27" t="str">
        <x:v>Y026</x:v>
      </x:c>
      <x:c r="B27" s="27" t="str">
        <x:v>黄风怪</x:v>
      </x:c>
      <x:c r="C27" s="27" t="str">
        <x:v>第20—21回</x:v>
      </x:c>
      <x:c r="D27" s="27" t="str">
        <x:v>妖王/风魔</x:v>
      </x:c>
      <x:c r="E27" s="27" t="str">
        <x:v>黄风岭</x:v>
      </x:c>
      <x:c r="F27" s="27" t="str">
        <x:v>是</x:v>
      </x:c>
      <x:c r="G27" s="27" t="str">
        <x:v>灵山相关黄毛貂鼠，需灵吉菩萨处理</x:v>
      </x:c>
      <x:c r="H27" s="27" t="str">
        <x:v>以三昧神风阻挠悟空，摄唐僧。</x:v>
      </x:c>
      <x:c r="I27" s="27" t="str">
        <x:v>自然力与法术克制；局部能力无法通吃。</x:v>
      </x:c>
      <x:c r="J27" s="27" t="str">
        <x:v>有来历妖怪/需专门法宝</x:v>
      </x:c>
      <x:c r="K27" s="27" t="str">
        <x:v>灵吉菩萨降伏</x:v>
      </x:c>
      <x:c r="L27" s="27" t="str">
        <x:v>待校核原文</x:v>
      </x:c>
      <x:c r="M27" s="27" t="str">
        <x:v>https://zh.wikisource.org/wiki/西游记/第二十一回</x:v>
      </x:c>
      <x:c r="N27" s="27" t="str">
        <x:v>适合做“有后台/有来历妖怪”案例。</x:v>
      </x:c>
    </x:row>
    <x:row r="28" ht="26.399999618530273" hidden="0" customHeight="1">
      <x:c r="A28" s="27" t="str">
        <x:v>Y027</x:v>
      </x:c>
      <x:c r="B28" s="27" t="str">
        <x:v>沙悟净/沙僧</x:v>
      </x:c>
      <x:c r="C28" s="27" t="str">
        <x:v>第22回</x:v>
      </x:c>
      <x:c r="D28" s="27" t="str">
        <x:v>贬谪神将/取经护法</x:v>
      </x:c>
      <x:c r="E28" s="27" t="str">
        <x:v>天庭贬谪→流沙河→取经团队</x:v>
      </x:c>
      <x:c r="F28" s="27" t="str">
        <x:v>否/前期以妖形出场</x:v>
      </x:c>
      <x:c r="G28" s="27" t="str">
        <x:v>原卷帘大将，观音点化</x:v>
      </x:c>
      <x:c r="H28" s="27" t="str">
        <x:v>流沙河阻路，与八戒交战，后由木叉收伏归队。</x:v>
      </x:c>
      <x:c r="I28" s="27" t="str">
        <x:v>沉滞、承受、净化与稳定执行。</x:v>
      </x:c>
      <x:c r="J28" s="27" t="str">
        <x:v>团队成员/稳定器</x:v>
      </x:c>
      <x:c r="K28" s="27" t="str">
        <x:v>木叉奉法收伏</x:v>
      </x:c>
      <x:c r="L28" s="27" t="str">
        <x:v>待校核原文</x:v>
      </x:c>
      <x:c r="M28" s="27" t="str">
        <x:v>https://zh.wikisource.org/wiki/西游记/第二十二回</x:v>
      </x:c>
      <x:c r="N28" s="27" t="str">
        <x:v>团队稳定角色正式到位。</x:v>
      </x:c>
    </x:row>
    <x:row r="29" ht="26.399999618530273" hidden="0" customHeight="1">
      <x:c r="A29" s="27" t="str">
        <x:v>Y027</x:v>
      </x:c>
      <x:c r="B29" s="27" t="str">
        <x:v>四圣化身母女</x:v>
      </x:c>
      <x:c r="C29" s="27" t="str">
        <x:v>第23回</x:v>
      </x:c>
      <x:c r="D29" s="27" t="str">
        <x:v>菩萨/圣者化身</x:v>
      </x:c>
      <x:c r="E29" s="27" t="str">
        <x:v>灵山/佛教护法系统</x:v>
      </x:c>
      <x:c r="F29" s="27" t="str">
        <x:v>否</x:v>
      </x:c>
      <x:c r="G29" s="27" t="str">
        <x:v>黎山老母、观音、文殊、普贤设局</x:v>
      </x:c>
      <x:c r="H29" s="27" t="str">
        <x:v>化作母女试探师徒禅心，八戒动心受惩。</x:v>
      </x:c>
      <x:c r="I29" s="27" t="str">
        <x:v>戒律与信念测试；外部考核机制。</x:v>
      </x:c>
      <x:c r="J29" s="27" t="str">
        <x:v>神佛试炼/价值观测试</x:v>
      </x:c>
      <x:c r="K29" s="27" t="str">
        <x:v>点化惩戒</x:v>
      </x:c>
      <x:c r="L29" s="27" t="str">
        <x:v>待校核原文</x:v>
      </x:c>
      <x:c r="M29" s="27" t="str">
        <x:v>https://zh.wikisource.org/wiki/西游记/第二十三回</x:v>
      </x:c>
      <x:c r="N29" s="27" t="str">
        <x:v>不是妖怪，是测试者。</x:v>
      </x:c>
    </x:row>
    <x:row r="30" ht="26.399999618530273" hidden="0" customHeight="1">
      <x:c r="A30" s="27" t="str">
        <x:v>Y028</x:v>
      </x:c>
      <x:c r="B30" s="27" t="str">
        <x:v>镇元大仙</x:v>
      </x:c>
      <x:c r="C30" s="27" t="str">
        <x:v>第24—26回</x:v>
      </x:c>
      <x:c r="D30" s="27" t="str">
        <x:v>地仙之祖/仙府主人</x:v>
      </x:c>
      <x:c r="E30" s="27" t="str">
        <x:v>五庄观系统</x:v>
      </x:c>
      <x:c r="F30" s="27" t="str">
        <x:v>否</x:v>
      </x:c>
      <x:c r="G30" s="27" t="str">
        <x:v>万寿山五庄观</x:v>
      </x:c>
      <x:c r="H30" s="27" t="str">
        <x:v>因人参果树被推倒追拿师徒，后与悟空和解结义。</x:v>
      </x:c>
      <x:c r="I30" s="27" t="str">
        <x:v>秩序、资源产权与修复性和解。</x:v>
      </x:c>
      <x:c r="J30" s="27" t="str">
        <x:v>仙真系统/资源所有者</x:v>
      </x:c>
      <x:c r="K30" s="27" t="str">
        <x:v>观音救树后和解</x:v>
      </x:c>
      <x:c r="L30" s="27" t="str">
        <x:v>待校核原文</x:v>
      </x:c>
      <x:c r="M30" s="27" t="str">
        <x:v>https://zh.wikisource.org/wiki/西游记/第二十四回</x:v>
      </x:c>
      <x:c r="N30" s="27" t="str">
        <x:v>应纳入权力/资源系统。</x:v>
      </x:c>
    </x:row>
    <x:row r="31" ht="26.399999618530273" hidden="0" customHeight="1">
      <x:c r="A31" s="27" t="str">
        <x:v>Y029</x:v>
      </x:c>
      <x:c r="B31" s="27" t="str">
        <x:v>清风、明月</x:v>
      </x:c>
      <x:c r="C31" s="27" t="str">
        <x:v>第24—25回</x:v>
      </x:c>
      <x:c r="D31" s="27" t="str">
        <x:v>仙童/看守者</x:v>
      </x:c>
      <x:c r="E31" s="27" t="str">
        <x:v>五庄观系统</x:v>
      </x:c>
      <x:c r="F31" s="27" t="str">
        <x:v>否</x:v>
      </x:c>
      <x:c r="G31" s="27" t="str">
        <x:v>镇元大仙门下</x:v>
      </x:c>
      <x:c r="H31" s="27" t="str">
        <x:v>奉命接待唐僧，引发人参果误会与争执。</x:v>
      </x:c>
      <x:c r="I31" s="27" t="str">
        <x:v>流程执行者；沟通失当的风险。</x:v>
      </x:c>
      <x:c r="J31" s="27" t="str">
        <x:v>仙府基层/流程节点</x:v>
      </x:c>
      <x:c r="K31" s="27" t="str">
        <x:v>争执后随镇元追责</x:v>
      </x:c>
      <x:c r="L31" s="27" t="str">
        <x:v>待校核原文</x:v>
      </x:c>
      <x:c r="M31" s="27" t="str">
        <x:v>https://zh.wikisource.org/wiki/西游记/第二十四回</x:v>
      </x:c>
      <x:c r="N31" s="27" t="str">
        <x:v>不是妖怪。</x:v>
      </x:c>
    </x:row>
    <x:row r="32" ht="26.399999618530273" hidden="0" customHeight="1">
      <x:c r="A32" s="27" t="str">
        <x:v>Y030</x:v>
      </x:c>
      <x:c r="B32" s="27" t="str">
        <x:v>人参果树</x:v>
      </x:c>
      <x:c r="C32" s="27" t="str">
        <x:v>第24—26回</x:v>
      </x:c>
      <x:c r="D32" s="27" t="str">
        <x:v>仙树/珍稀资源</x:v>
      </x:c>
      <x:c r="E32" s="27" t="str">
        <x:v>五庄观系统</x:v>
      </x:c>
      <x:c r="F32" s="27" t="str">
        <x:v>否</x:v>
      </x:c>
      <x:c r="G32" s="27" t="str">
        <x:v>镇元大仙所有</x:v>
      </x:c>
      <x:c r="H32" s="27" t="str">
        <x:v>因偷果争执被悟空推倒，后由观音甘露救活。</x:v>
      </x:c>
      <x:c r="I32" s="27" t="str">
        <x:v>稀缺资源、资产风险与修复成本。</x:v>
      </x:c>
      <x:c r="J32" s="27" t="str">
        <x:v>资源象征/风险客体</x:v>
      </x:c>
      <x:c r="K32" s="27" t="str">
        <x:v>观音甘露救活</x:v>
      </x:c>
      <x:c r="L32" s="27" t="str">
        <x:v>待校核原文</x:v>
      </x:c>
      <x:c r="M32" s="27" t="str">
        <x:v>https://zh.wikisource.org/wiki/西游记/第二十六回</x:v>
      </x:c>
      <x:c r="N32" s="27" t="str">
        <x:v>可进入资产风险专题。</x:v>
      </x:c>
    </x:row>
    <x:row r="33" ht="26.399999618530273" hidden="0" customHeight="1">
      <x:c r="A33" s="27" t="str">
        <x:v>Y031</x:v>
      </x:c>
      <x:c r="B33" s="27" t="str">
        <x:v>白骨精/尸魔</x:v>
      </x:c>
      <x:c r="C33" s="27" t="str">
        <x:v>第27回</x:v>
      </x:c>
      <x:c r="D33" s="27" t="str">
        <x:v>尸魔/变化妖怪</x:v>
      </x:c>
      <x:c r="E33" s="27" t="str">
        <x:v>白虎岭地方妖魔</x:v>
      </x:c>
      <x:c r="F33" s="27" t="str">
        <x:v>是</x:v>
      </x:c>
      <x:c r="G33" s="27" t="str">
        <x:v>尸骨成精/无明确后台</x:v>
      </x:c>
      <x:c r="H33" s="27" t="str">
        <x:v>三次变化为女子、老妇、老翁诱骗唐僧，被悟空识破打死。</x:v>
      </x:c>
      <x:c r="I33" s="27" t="str">
        <x:v>伪装、表象欺骗与信任危机。</x:v>
      </x:c>
      <x:c r="J33" s="27" t="str">
        <x:v>野生妖怪/伪装型/心魔型</x:v>
      </x:c>
      <x:c r="K33" s="27" t="str">
        <x:v>悟空三打消灭</x:v>
      </x:c>
      <x:c r="L33" s="27" t="str">
        <x:v>待校核原文</x:v>
      </x:c>
      <x:c r="M33" s="27" t="str">
        <x:v>https://zh.wikisource.org/wiki/西游记/第二十七回</x:v>
      </x:c>
      <x:c r="N33" s="27" t="str">
        <x:v>最典型的“识假难”案例。</x:v>
      </x:c>
    </x:row>
    <x:row r="34" ht="39.599998474121094" hidden="0" customHeight="1">
      <x:c r="A34" s="27" t="str">
        <x:v>Y032</x:v>
      </x:c>
      <x:c r="B34" s="27" t="str">
        <x:v>黄袍怪/奎木狼</x:v>
      </x:c>
      <x:c r="C34" s="27" t="str">
        <x:v>第28—31回</x:v>
      </x:c>
      <x:c r="D34" s="27" t="str">
        <x:v>妖怪/天庭星宿下凡</x:v>
      </x:c>
      <x:c r="E34" s="27" t="str">
        <x:v>天庭星宿系统</x:v>
      </x:c>
      <x:c r="F34" s="27" t="str">
        <x:v>是</x:v>
      </x:c>
      <x:c r="G34" s="27" t="str">
        <x:v>二十八宿之奎木狼私下凡间</x:v>
      </x:c>
      <x:c r="H34" s="27" t="str">
        <x:v>占波月洞，与百花羞有前缘，作乱宝象国，后被悟空降伏并归天。</x:v>
      </x:c>
      <x:c r="I34" s="27" t="str">
        <x:v>有后台妖怪；制度系统内成员外溢成风险。</x:v>
      </x:c>
      <x:c r="J34" s="27" t="str">
        <x:v>神仙下界/有后台妖怪/情欲牵连</x:v>
      </x:c>
      <x:c r="K34" s="27" t="str">
        <x:v>悟空降伏，天庭收回</x:v>
      </x:c>
      <x:c r="L34" s="27" t="str">
        <x:v>待校核原文</x:v>
      </x:c>
      <x:c r="M34" s="27" t="str">
        <x:v>https://zh.wikisource.org/wiki/西游记/第三十一回</x:v>
      </x:c>
      <x:c r="N34" s="27" t="str">
        <x:v>重点纳入“有后台的妖怪”专题。</x:v>
      </x:c>
    </x:row>
    <x:row r="35" ht="26.399999618530273" hidden="0" customHeight="1">
      <x:c r="A35" s="27" t="str">
        <x:v>Y033</x:v>
      </x:c>
      <x:c r="B35" s="27" t="str">
        <x:v>百花羞公主</x:v>
      </x:c>
      <x:c r="C35" s="27" t="str">
        <x:v>第28—31回</x:v>
      </x:c>
      <x:c r="D35" s="27" t="str">
        <x:v>人间公主/受困者</x:v>
      </x:c>
      <x:c r="E35" s="27" t="str">
        <x:v>宝象国系统</x:v>
      </x:c>
      <x:c r="F35" s="27" t="str">
        <x:v>否</x:v>
      </x:c>
      <x:c r="G35" s="27" t="str">
        <x:v>宝象国王之女，与奎木狼前缘相关</x:v>
      </x:c>
      <x:c r="H35" s="27" t="str">
        <x:v>被黄袍怪摄去多年，求唐僧传信宝象国。</x:v>
      </x:c>
      <x:c r="I35" s="27" t="str">
        <x:v>人间秩序受妖邪侵入；情缘与政治风险交织。</x:v>
      </x:c>
      <x:c r="J35" s="27" t="str">
        <x:v>人间王国/受害者/关系牵引</x:v>
      </x:c>
      <x:c r="K35" s="27" t="str">
        <x:v>传信求救</x:v>
      </x:c>
      <x:c r="L35" s="27" t="str">
        <x:v>待校核原文</x:v>
      </x:c>
      <x:c r="M35" s="27" t="str">
        <x:v>https://zh.wikisource.org/wiki/西游记/第二十八回</x:v>
      </x:c>
      <x:c r="N35" s="27" t="str">
        <x:v>不是妖怪，但连接宝象国危机。</x:v>
      </x:c>
    </x:row>
    <x:row r="36" ht="26.399999618530273" hidden="0" customHeight="1">
      <x:c r="A36" s="27" t="str">
        <x:v>Y034</x:v>
      </x:c>
      <x:c r="B36" s="27" t="str">
        <x:v>宝象国王</x:v>
      </x:c>
      <x:c r="C36" s="27" t="str">
        <x:v>第29—31回</x:v>
      </x:c>
      <x:c r="D36" s="27" t="str">
        <x:v>人间国王</x:v>
      </x:c>
      <x:c r="E36" s="27" t="str">
        <x:v>宝象国系统</x:v>
      </x:c>
      <x:c r="F36" s="27" t="str">
        <x:v>否</x:v>
      </x:c>
      <x:c r="G36" s="27" t="str">
        <x:v>人间政治秩序</x:v>
      </x:c>
      <x:c r="H36" s="27" t="str">
        <x:v>因百花羞事件卷入黄袍怪之难，误认唐僧为虎妖。</x:v>
      </x:c>
      <x:c r="I36" s="27" t="str">
        <x:v>人间权力系统的信息误判。</x:v>
      </x:c>
      <x:c r="J36" s="27" t="str">
        <x:v>人间王国/误判者</x:v>
      </x:c>
      <x:c r="K36" s="27" t="str">
        <x:v>悟空降妖后危机解除</x:v>
      </x:c>
      <x:c r="L36" s="27" t="str">
        <x:v>待校核原文</x:v>
      </x:c>
      <x:c r="M36" s="27" t="str">
        <x:v>https://zh.wikisource.org/wiki/西游记/第二十九回</x:v>
      </x:c>
      <x:c r="N36" s="27" t="str">
        <x:v>可用于“人间王国误判”专题。</x:v>
      </x:c>
    </x:row>
    <x:row r="37" ht="26.399999618530273" hidden="0" customHeight="1">
      <x:c r="A37" s="27" t="str">
        <x:v>Y035</x:v>
      </x:c>
      <x:c r="B37" s="27" t="str">
        <x:v>金角大王</x:v>
      </x:c>
      <x:c r="C37" s="27" t="str">
        <x:v>第32—35回</x:v>
      </x:c>
      <x:c r="D37" s="27" t="str">
        <x:v>妖怪/太上老君童子下界</x:v>
      </x:c>
      <x:c r="E37" s="27" t="str">
        <x:v>道教仙府/莲花洞外显</x:v>
      </x:c>
      <x:c r="F37" s="27" t="str">
        <x:v>是</x:v>
      </x:c>
      <x:c r="G37" s="27" t="str">
        <x:v>太上老君看炉童子/携带仙家法宝</x:v>
      </x:c>
      <x:c r="H37" s="27" t="str">
        <x:v>与银角占据莲花洞，以法宝、变化、名号规则捉拿唐僧师徒。</x:v>
      </x:c>
      <x:c r="I37" s="27" t="str">
        <x:v>内部系统人员外溢成外部风险；权威系统的管理漏洞。</x:v>
      </x:c>
      <x:c r="J37" s="27" t="str">
        <x:v>有后台妖怪/童子下界/法宝型妖怪</x:v>
      </x:c>
      <x:c r="K37" s="27" t="str">
        <x:v>悟空降伏，太上老君收回</x:v>
      </x:c>
      <x:c r="L37" s="27" t="str">
        <x:v>待校核原文</x:v>
      </x:c>
      <x:c r="M37" s="27" t="str">
        <x:v>https://zh.wikisource.org/wiki/西游记/第三十五回</x:v>
      </x:c>
      <x:c r="N37" s="27" t="str">
        <x:v>与银角共同构成平顶山莲花洞段核心风险。</x:v>
      </x:c>
    </x:row>
    <x:row r="38" ht="26.399999618530273" hidden="0" customHeight="1">
      <x:c r="A38" s="27" t="str">
        <x:v>Y036</x:v>
      </x:c>
      <x:c r="B38" s="27" t="str">
        <x:v>银角大王</x:v>
      </x:c>
      <x:c r="C38" s="27" t="str">
        <x:v>第32—35回</x:v>
      </x:c>
      <x:c r="D38" s="27" t="str">
        <x:v>妖怪/太上老君童子下界</x:v>
      </x:c>
      <x:c r="E38" s="27" t="str">
        <x:v>道教仙府/莲花洞外显</x:v>
      </x:c>
      <x:c r="F38" s="27" t="str">
        <x:v>是</x:v>
      </x:c>
      <x:c r="G38" s="27" t="str">
        <x:v>太上老君看炉童子/携带仙家法宝</x:v>
      </x:c>
      <x:c r="H38" s="27" t="str">
        <x:v>与金角配合设局，利用法宝与变化迷惑、擒拿取经团队。</x:v>
      </x:c>
      <x:c r="I38" s="27" t="str">
        <x:v>工具化权力与流程规则被滥用。</x:v>
      </x:c>
      <x:c r="J38" s="27" t="str">
        <x:v>有后台妖怪/童子下界/法宝型妖怪</x:v>
      </x:c>
      <x:c r="K38" s="27" t="str">
        <x:v>悟空降伏，太上老君收回</x:v>
      </x:c>
      <x:c r="L38" s="27" t="str">
        <x:v>待校核原文</x:v>
      </x:c>
      <x:c r="M38" s="27" t="str">
        <x:v>https://zh.wikisource.org/wiki/西游记/第三十五回</x:v>
      </x:c>
      <x:c r="N38" s="27" t="str">
        <x:v>可与黄袍怪比较：一个是星宿下凡，一个是童子下界。</x:v>
      </x:c>
    </x:row>
    <x:row r="39" ht="26.399999618530273" hidden="0" customHeight="1">
      <x:c r="A39" s="27" t="str">
        <x:v>Y037</x:v>
      </x:c>
      <x:c r="B39" s="27" t="str">
        <x:v>精细鬼</x:v>
      </x:c>
      <x:c r="C39" s="27" t="str">
        <x:v>第34回</x:v>
      </x:c>
      <x:c r="D39" s="27" t="str">
        <x:v>小妖/执行者</x:v>
      </x:c>
      <x:c r="E39" s="27" t="str">
        <x:v>莲花洞系统</x:v>
      </x:c>
      <x:c r="F39" s="27" t="str">
        <x:v>是</x:v>
      </x:c>
      <x:c r="G39" s="27" t="str">
        <x:v>金角银角属下</x:v>
      </x:c>
      <x:c r="H39" s="27" t="str">
        <x:v>奉命持宝办事，被悟空设计骗取宝贝。</x:v>
      </x:c>
      <x:c r="I39" s="27" t="str">
        <x:v>基层执行者掌握关键资源但识别能力不足。</x:v>
      </x:c>
      <x:c r="J39" s="27" t="str">
        <x:v>小妖执行层/资源携带者</x:v>
      </x:c>
      <x:c r="K39" s="27" t="str">
        <x:v>被悟空骗取宝贝</x:v>
      </x:c>
      <x:c r="L39" s="27" t="str">
        <x:v>待校核原文</x:v>
      </x:c>
      <x:c r="M39" s="27" t="str">
        <x:v>https://zh.wikisource.org/wiki/西游记/第三十四回</x:v>
      </x:c>
      <x:c r="N39" s="27" t="str">
        <x:v>用于分析“授权携宝外出”的管控风险。</x:v>
      </x:c>
    </x:row>
    <x:row r="40" ht="26.399999618530273" hidden="0" customHeight="1">
      <x:c r="A40" s="27" t="str">
        <x:v>Y038</x:v>
      </x:c>
      <x:c r="B40" s="27" t="str">
        <x:v>伶俐虫</x:v>
      </x:c>
      <x:c r="C40" s="27" t="str">
        <x:v>第34回</x:v>
      </x:c>
      <x:c r="D40" s="27" t="str">
        <x:v>小妖/执行者</x:v>
      </x:c>
      <x:c r="E40" s="27" t="str">
        <x:v>莲花洞系统</x:v>
      </x:c>
      <x:c r="F40" s="27" t="str">
        <x:v>是</x:v>
      </x:c>
      <x:c r="G40" s="27" t="str">
        <x:v>金角银角属下</x:v>
      </x:c>
      <x:c r="H40" s="27" t="str">
        <x:v>与精细鬼携宝外出，被悟空机变骗取。</x:v>
      </x:c>
      <x:c r="I40" s="27" t="str">
        <x:v>名为伶俐，实则缺少风险判断；讽刺性命名。</x:v>
      </x:c>
      <x:c r="J40" s="27" t="str">
        <x:v>小妖执行层/讽刺命名</x:v>
      </x:c>
      <x:c r="K40" s="27" t="str">
        <x:v>被悟空骗取宝贝</x:v>
      </x:c>
      <x:c r="L40" s="27" t="str">
        <x:v>待校核原文</x:v>
      </x:c>
      <x:c r="M40" s="27" t="str">
        <x:v>https://zh.wikisource.org/wiki/西游记/第三十四回</x:v>
      </x:c>
      <x:c r="N40" s="27" t="str">
        <x:v>适合纳入《西游记》的幽默命名专题。</x:v>
      </x:c>
    </x:row>
    <x:row r="41" ht="26.399999618530273" hidden="0" customHeight="1">
      <x:c r="A41" s="27" t="str">
        <x:v>Y039</x:v>
      </x:c>
      <x:c r="B41" s="27" t="str">
        <x:v>紫金红葫芦</x:v>
      </x:c>
      <x:c r="C41" s="27" t="str">
        <x:v>第34—35回</x:v>
      </x:c>
      <x:c r="D41" s="27" t="str">
        <x:v>法宝/器物</x:v>
      </x:c>
      <x:c r="E41" s="27" t="str">
        <x:v>太上老君系统</x:v>
      </x:c>
      <x:c r="F41" s="27" t="str">
        <x:v>否</x:v>
      </x:c>
      <x:c r="G41" s="27" t="str">
        <x:v>太上老君所有</x:v>
      </x:c>
      <x:c r="H41" s="27" t="str">
        <x:v>叫人姓名，对方应声即被收摄，是金角银角的重要法宝。</x:v>
      </x:c>
      <x:c r="I41" s="27" t="str">
        <x:v>名号规则、流程触发与工具权力。</x:v>
      </x:c>
      <x:c r="J41" s="27" t="str">
        <x:v>法宝/规则型工具/资源外溢</x:v>
      </x:c>
      <x:c r="K41" s="27" t="str">
        <x:v>被悟空骗取并反制</x:v>
      </x:c>
      <x:c r="L41" s="27" t="str">
        <x:v>待校核原文</x:v>
      </x:c>
      <x:c r="M41" s="27" t="str">
        <x:v>https://zh.wikisource.org/wiki/西游记/第三十四回</x:v>
      </x:c>
      <x:c r="N41" s="27" t="str">
        <x:v>建议后续建立“法宝表”单独管理。</x:v>
      </x:c>
    </x:row>
    <x:row r="42" ht="26.399999618530273" hidden="0" customHeight="1">
      <x:c r="A42" s="27" t="str">
        <x:v>Y040</x:v>
      </x:c>
      <x:c r="B42" s="27" t="str">
        <x:v>羊脂玉净瓶</x:v>
      </x:c>
      <x:c r="C42" s="27" t="str">
        <x:v>第34—35回</x:v>
      </x:c>
      <x:c r="D42" s="27" t="str">
        <x:v>法宝/器物</x:v>
      </x:c>
      <x:c r="E42" s="27" t="str">
        <x:v>太上老君系统</x:v>
      </x:c>
      <x:c r="F42" s="27" t="str">
        <x:v>否</x:v>
      </x:c>
      <x:c r="G42" s="27" t="str">
        <x:v>太上老君所有</x:v>
      </x:c>
      <x:c r="H42" s="27" t="str">
        <x:v>与葫芦同类，用于收摄对方。</x:v>
      </x:c>
      <x:c r="I42" s="27" t="str">
        <x:v>同一规则工具的复用，显示法宝系统化特征。</x:v>
      </x:c>
      <x:c r="J42" s="27" t="str">
        <x:v>法宝/规则型工具/资源外溢</x:v>
      </x:c>
      <x:c r="K42" s="27" t="str">
        <x:v>被悟空骗取并反制</x:v>
      </x:c>
      <x:c r="L42" s="27" t="str">
        <x:v>待校核原文</x:v>
      </x:c>
      <x:c r="M42" s="27" t="str">
        <x:v>https://zh.wikisource.org/wiki/西游记/第三十四回</x:v>
      </x:c>
      <x:c r="N42" s="27" t="str">
        <x:v>建议与紫金红葫芦并列入法宝表。</x:v>
      </x:c>
    </x:row>
    <x:row r="43" ht="26.399999618530273" hidden="0" customHeight="1">
      <x:c r="A43" s="27" t="str">
        <x:v>Y041</x:v>
      </x:c>
      <x:c r="B43" s="27" t="str">
        <x:v>幌金绳</x:v>
      </x:c>
      <x:c r="C43" s="27" t="str">
        <x:v>第34—35回</x:v>
      </x:c>
      <x:c r="D43" s="27" t="str">
        <x:v>法宝/器物</x:v>
      </x:c>
      <x:c r="E43" s="27" t="str">
        <x:v>太上老君系统</x:v>
      </x:c>
      <x:c r="F43" s="27" t="str">
        <x:v>否</x:v>
      </x:c>
      <x:c r="G43" s="27" t="str">
        <x:v>太上老君所有</x:v>
      </x:c>
      <x:c r="H43" s="27" t="str">
        <x:v>用于捆缚对手，是莲花洞诸宝之一。</x:v>
      </x:c>
      <x:c r="I43" s="27" t="str">
        <x:v>约束工具被外部化使用，形成被动控制。</x:v>
      </x:c>
      <x:c r="J43" s="27" t="str">
        <x:v>法宝/约束工具/资源外溢</x:v>
      </x:c>
      <x:c r="K43" s="27" t="str">
        <x:v>被悟空夺取或反制</x:v>
      </x:c>
      <x:c r="L43" s="27" t="str">
        <x:v>待校核原文</x:v>
      </x:c>
      <x:c r="M43" s="27" t="str">
        <x:v>https://zh.wikisource.org/wiki/西游记/第三十五回</x:v>
      </x:c>
      <x:c r="N43" s="27" t="str">
        <x:v>细节需原文校核。</x:v>
      </x:c>
    </x:row>
    <x:row r="44" ht="26.399999618530273" hidden="0" customHeight="1">
      <x:c r="A44" s="27" t="str">
        <x:v>Y042</x:v>
      </x:c>
      <x:c r="B44" s="27" t="str">
        <x:v>太上老君</x:v>
      </x:c>
      <x:c r="C44" s="27" t="str">
        <x:v>第35回</x:v>
      </x:c>
      <x:c r="D44" s="27" t="str">
        <x:v>道教大神/资源所有者</x:v>
      </x:c>
      <x:c r="E44" s="27" t="str">
        <x:v>天庭/道教仙府系统</x:v>
      </x:c>
      <x:c r="F44" s="27" t="str">
        <x:v>否</x:v>
      </x:c>
      <x:c r="G44" s="27" t="str">
        <x:v>法宝与童子的上级系统</x:v>
      </x:c>
      <x:c r="H44" s="27" t="str">
        <x:v>出面收回金角、银角及相关宝物。</x:v>
      </x:c>
      <x:c r="I44" s="27" t="str">
        <x:v>后台系统与责任归位；个案收束但也暴露内部管理漏洞。</x:v>
      </x:c>
      <x:c r="J44" s="27" t="str">
        <x:v>神祇系统/后台责任人</x:v>
      </x:c>
      <x:c r="K44" s="27" t="str">
        <x:v>收回童子与法宝</x:v>
      </x:c>
      <x:c r="L44" s="27" t="str">
        <x:v>待校核原文</x:v>
      </x:c>
      <x:c r="M44" s="27" t="str">
        <x:v>https://zh.wikisource.org/wiki/西游记/第三十五回</x:v>
      </x:c>
      <x:c r="N44" s="27" t="str">
        <x:v>与第5回、金丹炉情节可前后对读。</x:v>
      </x:c>
    </x:row>
    <x:row r="45" ht="52.79999923706055" hidden="0" customHeight="1">
      <x:c r="A45" s="27" t="str">
        <x:v>Y034</x:v>
      </x:c>
      <x:c r="B45" s="27" t="str">
        <x:v>乌鸡国真王</x:v>
      </x:c>
      <x:c r="C45" s="27" t="str">
        <x:v>第36—39回</x:v>
      </x:c>
      <x:c r="D45" s="27" t="str">
        <x:v>被害国王/冤魂</x:v>
      </x:c>
      <x:c r="E45" s="27" t="str">
        <x:v>人间王权系统</x:v>
      </x:c>
      <x:c r="F45" s="27" t="str">
        <x:v>否</x:v>
      </x:c>
      <x:c r="G45" s="27" t="str">
        <x:v>乌鸡国合法王权</x:v>
      </x:c>
      <x:c r="H45" s="27" t="str">
        <x:v>被青毛狮子推入井中，托梦唐僧申冤，后经金丹还魂复位。</x:v>
      </x:c>
      <x:c r="I45" s="27" t="str">
        <x:v>被遮蔽的合法性；沉没的真相。</x:v>
      </x:c>
      <x:c r="J45" s="27" t="str">
        <x:v>人间王权/冤案主体</x:v>
      </x:c>
      <x:c r="K45" s="27" t="str">
        <x:v>金丹还魂、复位</x:v>
      </x:c>
      <x:c r="L45" s="27" t="str">
        <x:v>待校核原文</x:v>
      </x:c>
      <x:c r="M45" s="27" t="str">
        <x:v>https://zh.wikisource.org/wiki/西游记/%E7%AC%AC%E4%B8%89%E5%8D%81%E5%85%AD%E5%9B%9E</x:v>
      </x:c>
      <x:c r="N45" s="27" t="str">
        <x:v>不是妖怪，但为真假王权专题核心对象。</x:v>
      </x:c>
    </x:row>
    <x:row r="46" ht="52.79999923706055" hidden="0" customHeight="1">
      <x:c r="A46" s="27" t="str">
        <x:v>Y035</x:v>
      </x:c>
      <x:c r="B46" s="27" t="str">
        <x:v>假乌鸡国王/青毛狮子</x:v>
      </x:c>
      <x:c r="C46" s="27" t="str">
        <x:v>第36—39回</x:v>
      </x:c>
      <x:c r="D46" s="27" t="str">
        <x:v>文殊坐骑/冒名国王</x:v>
      </x:c>
      <x:c r="E46" s="27" t="str">
        <x:v>佛教系统外溢</x:v>
      </x:c>
      <x:c r="F46" s="27" t="str">
        <x:v>是</x:v>
      </x:c>
      <x:c r="G46" s="27" t="str">
        <x:v>文殊菩萨坐骑</x:v>
      </x:c>
      <x:c r="H46" s="27" t="str">
        <x:v>冒充乌鸡国王三年，被悟空查破后由文殊收回。</x:v>
      </x:c>
      <x:c r="I46" s="27" t="str">
        <x:v>有后台妖怪；权力冒用；合法性被替换。</x:v>
      </x:c>
      <x:c r="J46" s="27" t="str">
        <x:v>神佛坐骑/后台妖怪/冒名篡位</x:v>
      </x:c>
      <x:c r="K46" s="27" t="str">
        <x:v>文殊收伏</x:v>
      </x:c>
      <x:c r="L46" s="27" t="str">
        <x:v>待校核原文</x:v>
      </x:c>
      <x:c r="M46" s="27" t="str">
        <x:v>https://zh.wikisource.org/wiki/西游记/%E7%AC%AC%E4%B8%89%E5%8D%81%E4%B9%9D%E5%9B%9E</x:v>
      </x:c>
      <x:c r="N46" s="27" t="str">
        <x:v>需校核青毛狮子出场与文殊解释。</x:v>
      </x:c>
    </x:row>
    <x:row r="47" ht="52.79999923706055" hidden="0" customHeight="1">
      <x:c r="A47" s="27" t="str">
        <x:v>Y036</x:v>
      </x:c>
      <x:c r="B47" s="27" t="str">
        <x:v>乌鸡国太子</x:v>
      </x:c>
      <x:c r="C47" s="27" t="str">
        <x:v>第37—39回</x:v>
      </x:c>
      <x:c r="D47" s="27" t="str">
        <x:v>王储/关键证人</x:v>
      </x:c>
      <x:c r="E47" s="27" t="str">
        <x:v>人间王权系统</x:v>
      </x:c>
      <x:c r="F47" s="27" t="str">
        <x:v>否</x:v>
      </x:c>
      <x:c r="G47" s="27" t="str">
        <x:v>乌鸡国王族</x:v>
      </x:c>
      <x:c r="H47" s="27" t="str">
        <x:v>被悟空引导，向母后问明线索，推动真假辨识。</x:v>
      </x:c>
      <x:c r="I47" s="27" t="str">
        <x:v>组织中的关键相关方；事实核验入口。</x:v>
      </x:c>
      <x:c r="J47" s="27" t="str">
        <x:v>人间系统/证据节点</x:v>
      </x:c>
      <x:c r="K47" s="27" t="str">
        <x:v>协助确认真相</x:v>
      </x:c>
      <x:c r="L47" s="27" t="str">
        <x:v>待校核原文</x:v>
      </x:c>
      <x:c r="M47" s="27" t="str">
        <x:v>https://zh.wikisource.org/wiki/西游记/%E7%AC%AC%E4%B8%89%E5%8D%81%E4%B8%83%E5%9B%9E</x:v>
      </x:c>
      <x:c r="N47" s="27" t="str">
        <x:v>适合纳入证据链图。</x:v>
      </x:c>
    </x:row>
    <x:row r="48" ht="52.79999923706055" hidden="0" customHeight="1">
      <x:c r="A48" s="27" t="str">
        <x:v>Y037</x:v>
      </x:c>
      <x:c r="B48" s="27" t="str">
        <x:v>乌鸡国王后</x:v>
      </x:c>
      <x:c r="C48" s="27" t="str">
        <x:v>第38回</x:v>
      </x:c>
      <x:c r="D48" s="27" t="str">
        <x:v>王后/知情人</x:v>
      </x:c>
      <x:c r="E48" s="27" t="str">
        <x:v>人间王权系统</x:v>
      </x:c>
      <x:c r="F48" s="27" t="str">
        <x:v>否</x:v>
      </x:c>
      <x:c r="G48" s="27" t="str">
        <x:v>乌鸡国王族</x:v>
      </x:c>
      <x:c r="H48" s="27" t="str">
        <x:v>太子问母，王后提供真假辨识线索。</x:v>
      </x:c>
      <x:c r="I48" s="27" t="str">
        <x:v>隐性知情人；被压抑的事实记忆。</x:v>
      </x:c>
      <x:c r="J48" s="27" t="str">
        <x:v>人间系统/证据节点</x:v>
      </x:c>
      <x:c r="K48" s="27" t="str">
        <x:v>问询核实</x:v>
      </x:c>
      <x:c r="L48" s="27" t="str">
        <x:v>待校核原文</x:v>
      </x:c>
      <x:c r="M48" s="27" t="str">
        <x:v>https://zh.wikisource.org/wiki/西游记/%E7%AC%AC%E4%B8%89%E5%8D%81%E5%85%AB%E5%9B%9E</x:v>
      </x:c>
      <x:c r="N48" s="27" t="str">
        <x:v>与太子共同构成内部证据链。</x:v>
      </x:c>
    </x:row>
    <x:row r="49" ht="52.79999923706055" hidden="0" customHeight="1">
      <x:c r="A49" s="27" t="str">
        <x:v>Y038</x:v>
      </x:c>
      <x:c r="B49" s="27" t="str">
        <x:v>井龙王</x:v>
      </x:c>
      <x:c r="C49" s="27" t="str">
        <x:v>第38回</x:v>
      </x:c>
      <x:c r="D49" s="27" t="str">
        <x:v>水府神祇/证据保全者</x:v>
      </x:c>
      <x:c r="E49" s="27" t="str">
        <x:v>龙宫/地方神祇系统</x:v>
      </x:c>
      <x:c r="F49" s="27" t="str">
        <x:v>否</x:v>
      </x:c>
      <x:c r="G49" s="27" t="str">
        <x:v>井中水府</x:v>
      </x:c>
      <x:c r="H49" s="27" t="str">
        <x:v>保存真王尸身，帮助案件进入实证阶段。</x:v>
      </x:c>
      <x:c r="I49" s="27" t="str">
        <x:v>证据保全；被隐藏真相的守护者。</x:v>
      </x:c>
      <x:c r="J49" s="27" t="str">
        <x:v>神祇系统/证据保全</x:v>
      </x:c>
      <x:c r="K49" s="27" t="str">
        <x:v>交还尸身/协助查案</x:v>
      </x:c>
      <x:c r="L49" s="27" t="str">
        <x:v>待校核原文</x:v>
      </x:c>
      <x:c r="M49" s="27" t="str">
        <x:v>https://zh.wikisource.org/wiki/西游记/%E7%AC%AC%E4%B8%89%E5%8D%81%E5%85%AB%E5%9B%9E</x:v>
      </x:c>
      <x:c r="N49" s="27" t="str">
        <x:v>与第3回龙宫系统可作对照。</x:v>
      </x:c>
    </x:row>
    <x:row r="50" ht="52.79999923706055" hidden="0" customHeight="1">
      <x:c r="A50" s="27" t="str">
        <x:v>Y039</x:v>
      </x:c>
      <x:c r="B50" s="27" t="str">
        <x:v>太上老君金丹</x:v>
      </x:c>
      <x:c r="C50" s="27" t="str">
        <x:v>第39回</x:v>
      </x:c>
      <x:c r="D50" s="27" t="str">
        <x:v>仙丹/复原资源</x:v>
      </x:c>
      <x:c r="E50" s="27" t="str">
        <x:v>道教天庭系统</x:v>
      </x:c>
      <x:c r="F50" s="27" t="str">
        <x:v>否</x:v>
      </x:c>
      <x:c r="G50" s="27" t="str">
        <x:v>太上老君</x:v>
      </x:c>
      <x:c r="H50" s="27" t="str">
        <x:v>用于救活乌鸡国真王。</x:v>
      </x:c>
      <x:c r="I50" s="27" t="str">
        <x:v>高层资源介入纠偏；恢复合法主体。</x:v>
      </x:c>
      <x:c r="J50" s="27" t="str">
        <x:v>法宝/丹药/系统资源</x:v>
      </x:c>
      <x:c r="K50" s="27" t="str">
        <x:v>悟空求取，用于还魂</x:v>
      </x:c>
      <x:c r="L50" s="27" t="str">
        <x:v>待校核原文</x:v>
      </x:c>
      <x:c r="M50" s="27" t="str">
        <x:v>https://zh.wikisource.org/wiki/西游记/%E7%AC%AC%E4%B8%89%E5%8D%81%E4%B9%9D%E5%9B%9E</x:v>
      </x:c>
      <x:c r="N50" s="27" t="str">
        <x:v>也写入07_法宝表。</x:v>
      </x:c>
    </x:row>
    <x:row r="51" ht="52.79999923706055" hidden="0" customHeight="1">
      <x:c r="A51" s="27" t="str">
        <x:v>Y040</x:v>
      </x:c>
      <x:c r="B51" s="27" t="str">
        <x:v>文殊菩萨</x:v>
      </x:c>
      <x:c r="C51" s="27" t="str">
        <x:v>第39回</x:v>
      </x:c>
      <x:c r="D51" s="27" t="str">
        <x:v>菩萨/后台收伏者</x:v>
      </x:c>
      <x:c r="E51" s="27" t="str">
        <x:v>灵山系统</x:v>
      </x:c>
      <x:c r="F51" s="27" t="str">
        <x:v>否</x:v>
      </x:c>
      <x:c r="G51" s="27" t="str">
        <x:v>佛教系统</x:v>
      </x:c>
      <x:c r="H51" s="27" t="str">
        <x:v>收回青毛狮子，并解释因缘。</x:v>
      </x:c>
      <x:c r="I51" s="27" t="str">
        <x:v>后台责任与系统内纠偏。</x:v>
      </x:c>
      <x:c r="J51" s="27" t="str">
        <x:v>灵山系统/后台关系</x:v>
      </x:c>
      <x:c r="K51" s="27" t="str">
        <x:v>收伏坐骑</x:v>
      </x:c>
      <x:c r="L51" s="27" t="str">
        <x:v>待校核原文</x:v>
      </x:c>
      <x:c r="M51" s="27" t="str">
        <x:v>https://zh.wikisource.org/wiki/西游记/%E7%AC%AC%E4%B8%89%E5%8D%81%E4%B9%9D%E5%9B%9E</x:v>
      </x:c>
      <x:c r="N51" s="27" t="str">
        <x:v>与观音、老君等后台处理方式可比较。</x:v>
      </x:c>
    </x:row>
    <x:row r="52" ht="26.399999618530273" hidden="0" customHeight="1">
      <x:c r="A52" s="27" t="str">
        <x:v>Y051</x:v>
      </x:c>
      <x:c r="B52" s="27" t="str">
        <x:v>红孩儿/圣婴大王</x:v>
      </x:c>
      <x:c r="C52" s="27" t="str">
        <x:v>第40—42回</x:v>
      </x:c>
      <x:c r="D52" s="27" t="str">
        <x:v>妖童/牛魔王之子</x:v>
      </x:c>
      <x:c r="E52" s="27" t="str">
        <x:v>牛魔王家族/火云洞</x:v>
      </x:c>
      <x:c r="F52" s="27" t="str">
        <x:v>是</x:v>
      </x:c>
      <x:c r="G52" s="27" t="str">
        <x:v>牛魔王、铁扇公主之子，后由观音收为善财童子</x:v>
      </x:c>
      <x:c r="H52" s="27" t="str">
        <x:v>化婴诱捕唐僧，以三昧真火败悟空，最终被观音收伏。</x:v>
      </x:c>
      <x:c r="I52" s="27" t="str">
        <x:v>少年化妖；能力、出身与管束不足的结合。</x:v>
      </x:c>
      <x:c r="J52" s="27" t="str">
        <x:v>家族势力/少年化妖/可收编对象</x:v>
      </x:c>
      <x:c r="K52" s="27" t="str">
        <x:v>观音降伏并收编</x:v>
      </x:c>
      <x:c r="L52" s="27" t="str">
        <x:v>待校核原文</x:v>
      </x:c>
      <x:c r="M52" s="27" t="str">
        <x:v>https://zh.wikisource.org/wiki/西游记/第四十二回</x:v>
      </x:c>
      <x:c r="N52" s="27" t="str">
        <x:v>不能只看作恶，也要看其转化路径。</x:v>
      </x:c>
    </x:row>
    <x:row r="53" ht="26.399999618530273" hidden="0" customHeight="1">
      <x:c r="A53" s="27" t="str">
        <x:v>Y052</x:v>
      </x:c>
      <x:c r="B53" s="27" t="str">
        <x:v>牛魔王</x:v>
      </x:c>
      <x:c r="C53" s="27" t="str">
        <x:v>第40—42回提及，后续重点</x:v>
      </x:c>
      <x:c r="D53" s="27" t="str">
        <x:v>妖王/家族势力核心</x:v>
      </x:c>
      <x:c r="E53" s="27" t="str">
        <x:v>积雷山/妖族家族</x:v>
      </x:c>
      <x:c r="F53" s="27" t="str">
        <x:v>是</x:v>
      </x:c>
      <x:c r="G53" s="27" t="str">
        <x:v>红孩儿之父，铁扇公主之夫</x:v>
      </x:c>
      <x:c r="H53" s="27" t="str">
        <x:v>红孩儿后台之一，本段主要作为家族来源出现。</x:v>
      </x:c>
      <x:c r="I53" s="27" t="str">
        <x:v>妖怪世界的家族网络与关系势力。</x:v>
      </x:c>
      <x:c r="J53" s="27" t="str">
        <x:v>家族后台/后续重点人物</x:v>
      </x:c>
      <x:c r="K53" s="27" t="str">
        <x:v>本段未正面处理</x:v>
      </x:c>
      <x:c r="L53" s="27" t="str">
        <x:v>待校核原文</x:v>
      </x:c>
      <x:c r="M53" s="27" t="str">
        <x:v>https://zh.wikisource.org/wiki/西游记/第四十回</x:v>
      </x:c>
      <x:c r="N53" s="27" t="str">
        <x:v>后续火焰山段将成为核心人物。</x:v>
      </x:c>
    </x:row>
    <x:row r="54" ht="26.399999618530273" hidden="0" customHeight="1">
      <x:c r="A54" s="27" t="str">
        <x:v>Y053</x:v>
      </x:c>
      <x:c r="B54" s="27" t="str">
        <x:v>铁扇公主</x:v>
      </x:c>
      <x:c r="C54" s="27" t="str">
        <x:v>第40—42回提及，后续重点</x:v>
      </x:c>
      <x:c r="D54" s="27" t="str">
        <x:v>女妖/家族势力成员</x:v>
      </x:c>
      <x:c r="E54" s="27" t="str">
        <x:v>牛魔王家族</x:v>
      </x:c>
      <x:c r="F54" s="27" t="str">
        <x:v>是</x:v>
      </x:c>
      <x:c r="G54" s="27" t="str">
        <x:v>红孩儿之母，掌芭蕉扇</x:v>
      </x:c>
      <x:c r="H54" s="27" t="str">
        <x:v>本段作为红孩儿身世背景出现。</x:v>
      </x:c>
      <x:c r="I54" s="27" t="str">
        <x:v>母系资源与法宝资源伏笔。</x:v>
      </x:c>
      <x:c r="J54" s="27" t="str">
        <x:v>家族后台/法宝关联</x:v>
      </x:c>
      <x:c r="K54" s="27" t="str">
        <x:v>本段未正面处理</x:v>
      </x:c>
      <x:c r="L54" s="27" t="str">
        <x:v>待校核原文</x:v>
      </x:c>
      <x:c r="M54" s="27" t="str">
        <x:v>https://zh.wikisource.org/wiki/西游记/第四十回</x:v>
      </x:c>
      <x:c r="N54" s="27" t="str">
        <x:v>后续火焰山段补充。</x:v>
      </x:c>
    </x:row>
    <x:row r="55" ht="26.399999618530273" hidden="0" customHeight="1">
      <x:c r="A55" s="27" t="str">
        <x:v>Y054</x:v>
      </x:c>
      <x:c r="B55" s="27" t="str">
        <x:v>红孩儿假观音</x:v>
      </x:c>
      <x:c r="C55" s="27" t="str">
        <x:v>第41回</x:v>
      </x:c>
      <x:c r="D55" s="27" t="str">
        <x:v>变化伪装形态</x:v>
      </x:c>
      <x:c r="E55" s="27" t="str">
        <x:v>火云洞</x:v>
      </x:c>
      <x:c r="F55" s="27" t="str">
        <x:v>是/化身</x:v>
      </x:c>
      <x:c r="G55" s="27" t="str">
        <x:v>红孩儿变化</x:v>
      </x:c>
      <x:c r="H55" s="27" t="str">
        <x:v>以观音形象诱擒猪八戒。</x:v>
      </x:c>
      <x:c r="I55" s="27" t="str">
        <x:v>假权威、假信息、假救援的典型。</x:v>
      </x:c>
      <x:c r="J55" s="27" t="str">
        <x:v>伪装型风险/信息欺骗</x:v>
      </x:c>
      <x:c r="K55" s="27" t="str">
        <x:v>被后续真观音收束</x:v>
      </x:c>
      <x:c r="L55" s="27" t="str">
        <x:v>待校核原文</x:v>
      </x:c>
      <x:c r="M55" s="27" t="str">
        <x:v>https://zh.wikisource.org/wiki/西游记/第四十一回</x:v>
      </x:c>
      <x:c r="N55" s="27" t="str">
        <x:v>可并入‘真假权威’专题。</x:v>
      </x:c>
    </x:row>
    <x:row r="56" ht="26.399999618530273" hidden="0" customHeight="1">
      <x:c r="A56" s="27" t="str">
        <x:v>Y055</x:v>
      </x:c>
      <x:c r="B56" s="27" t="str">
        <x:v>鼍龙/小鼍龙</x:v>
      </x:c>
      <x:c r="C56" s="27" t="str">
        <x:v>第43回</x:v>
      </x:c>
      <x:c r="D56" s="27" t="str">
        <x:v>水族妖怪/龙族亲属</x:v>
      </x:c>
      <x:c r="E56" s="27" t="str">
        <x:v>黑水河/西海龙族支系</x:v>
      </x:c>
      <x:c r="F56" s="27" t="str">
        <x:v>是</x:v>
      </x:c>
      <x:c r="G56" s="27" t="str">
        <x:v>西海龙王外甥等亲属关系</x:v>
      </x:c>
      <x:c r="H56" s="27" t="str">
        <x:v>占黑水河，设计擒唐僧，后被摩昂太子收回。</x:v>
      </x:c>
      <x:c r="I56" s="27" t="str">
        <x:v>亲属系统失管、地方水域风险。</x:v>
      </x:c>
      <x:c r="J56" s="27" t="str">
        <x:v>后台亲属/水族妖怪</x:v>
      </x:c>
      <x:c r="K56" s="27" t="str">
        <x:v>西海龙宫系统收回</x:v>
      </x:c>
      <x:c r="L56" s="27" t="str">
        <x:v>待校核原文</x:v>
      </x:c>
      <x:c r="M56" s="27" t="str">
        <x:v>https://zh.wikisource.org/wiki/西游记/第四十三回</x:v>
      </x:c>
      <x:c r="N56" s="27" t="str">
        <x:v>适合进入后台妖怪表。</x:v>
      </x:c>
    </x:row>
    <x:row r="57" ht="26.399999618530273" hidden="0" customHeight="1">
      <x:c r="A57" s="27" t="str">
        <x:v>Y056</x:v>
      </x:c>
      <x:c r="B57" s="27" t="str">
        <x:v>摩昂太子</x:v>
      </x:c>
      <x:c r="C57" s="27" t="str">
        <x:v>第43回</x:v>
      </x:c>
      <x:c r="D57" s="27" t="str">
        <x:v>龙子/执行收束者</x:v>
      </x:c>
      <x:c r="E57" s="27" t="str">
        <x:v>西海龙宫</x:v>
      </x:c>
      <x:c r="F57" s="27" t="str">
        <x:v>否</x:v>
      </x:c>
      <x:c r="G57" s="27" t="str">
        <x:v>西海龙王之子</x:v>
      </x:c>
      <x:c r="H57" s="27" t="str">
        <x:v>奉命收回鼍龙。</x:v>
      </x:c>
      <x:c r="I57" s="27" t="str">
        <x:v>后台系统内部纠偏力量。</x:v>
      </x:c>
      <x:c r="J57" s="27" t="str">
        <x:v>神祇系统/问责收束</x:v>
      </x:c>
      <x:c r="K57" s="27" t="str">
        <x:v>收服鼍龙</x:v>
      </x:c>
      <x:c r="L57" s="27" t="str">
        <x:v>待校核原文</x:v>
      </x:c>
      <x:c r="M57" s="27" t="str">
        <x:v>https://zh.wikisource.org/wiki/西游记/第四十三回</x:v>
      </x:c>
      <x:c r="N57" s="27" t="str">
        <x:v>与观音、老君、文殊收束后台妖怪可对照。</x:v>
      </x:c>
    </x:row>
    <x:row r="58" ht="26.399999618530273" hidden="0" customHeight="1">
      <x:c r="A58" s="27" t="str">
        <x:v>Y057</x:v>
      </x:c>
      <x:c r="B58" s="27" t="str">
        <x:v>虎力大仙</x:v>
      </x:c>
      <x:c r="C58" s="27" t="str">
        <x:v>第44—46回</x:v>
      </x:c>
      <x:c r="D58" s="27" t="str">
        <x:v>道士妖怪/国师</x:v>
      </x:c>
      <x:c r="E58" s="27" t="str">
        <x:v>车迟国</x:v>
      </x:c>
      <x:c r="F58" s="27" t="str">
        <x:v>是</x:v>
      </x:c>
      <x:c r="G58" s="27" t="str">
        <x:v>虎精成道</x:v>
      </x:c>
      <x:c r="H58" s="27" t="str">
        <x:v>与鹿力、羊力把持车迟国，欺压僧人，斗法后现形。</x:v>
      </x:c>
      <x:c r="I58" s="27" t="str">
        <x:v>外道借制度合法性压迫正法。</x:v>
      </x:c>
      <x:c r="J58" s="27" t="str">
        <x:v>伪宗教权威/制度寄生</x:v>
      </x:c>
      <x:c r="K58" s="27" t="str">
        <x:v>斗法失败现形</x:v>
      </x:c>
      <x:c r="L58" s="27" t="str">
        <x:v>待校核原文</x:v>
      </x:c>
      <x:c r="M58" s="27" t="str">
        <x:v>https://zh.wikisource.org/wiki/西游记/第四十六回</x:v>
      </x:c>
      <x:c r="N58" s="27" t="str">
        <x:v>三大仙之一。</x:v>
      </x:c>
    </x:row>
    <x:row r="59" ht="26.399999618530273" hidden="0" customHeight="1">
      <x:c r="A59" s="27" t="str">
        <x:v>Y058</x:v>
      </x:c>
      <x:c r="B59" s="27" t="str">
        <x:v>鹿力大仙</x:v>
      </x:c>
      <x:c r="C59" s="27" t="str">
        <x:v>第44—46回</x:v>
      </x:c>
      <x:c r="D59" s="27" t="str">
        <x:v>道士妖怪/国师</x:v>
      </x:c>
      <x:c r="E59" s="27" t="str">
        <x:v>车迟国</x:v>
      </x:c>
      <x:c r="F59" s="27" t="str">
        <x:v>是</x:v>
      </x:c>
      <x:c r="G59" s="27" t="str">
        <x:v>鹿精成道</x:v>
      </x:c>
      <x:c r="H59" s="27" t="str">
        <x:v>与虎力、羊力共同把持车迟国，斗法失败现形。</x:v>
      </x:c>
      <x:c r="I59" s="27" t="str">
        <x:v>外表修行与真实本相的反差。</x:v>
      </x:c>
      <x:c r="J59" s="27" t="str">
        <x:v>伪宗教权威/制度寄生</x:v>
      </x:c>
      <x:c r="K59" s="27" t="str">
        <x:v>斗法失败现形</x:v>
      </x:c>
      <x:c r="L59" s="27" t="str">
        <x:v>待校核原文</x:v>
      </x:c>
      <x:c r="M59" s="27" t="str">
        <x:v>https://zh.wikisource.org/wiki/西游记/第四十六回</x:v>
      </x:c>
      <x:c r="N59" s="27" t="str">
        <x:v>三大仙之一。</x:v>
      </x:c>
    </x:row>
    <x:row r="60" ht="26.399999618530273" hidden="0" customHeight="1">
      <x:c r="A60" s="27" t="str">
        <x:v>Y059</x:v>
      </x:c>
      <x:c r="B60" s="27" t="str">
        <x:v>羊力大仙</x:v>
      </x:c>
      <x:c r="C60" s="27" t="str">
        <x:v>第44—46回</x:v>
      </x:c>
      <x:c r="D60" s="27" t="str">
        <x:v>道士妖怪/国师</x:v>
      </x:c>
      <x:c r="E60" s="27" t="str">
        <x:v>车迟国</x:v>
      </x:c>
      <x:c r="F60" s="27" t="str">
        <x:v>是</x:v>
      </x:c>
      <x:c r="G60" s="27" t="str">
        <x:v>羊精成道</x:v>
      </x:c>
      <x:c r="H60" s="27" t="str">
        <x:v>与虎力、鹿力共同把持车迟国，斗法失败现形。</x:v>
      </x:c>
      <x:c r="I60" s="27" t="str">
        <x:v>群体性伪权威。</x:v>
      </x:c>
      <x:c r="J60" s="27" t="str">
        <x:v>伪宗教权威/制度寄生</x:v>
      </x:c>
      <x:c r="K60" s="27" t="str">
        <x:v>斗法失败现形</x:v>
      </x:c>
      <x:c r="L60" s="27" t="str">
        <x:v>待校核原文</x:v>
      </x:c>
      <x:c r="M60" s="27" t="str">
        <x:v>https://zh.wikisource.org/wiki/西游记/第四十六回</x:v>
      </x:c>
      <x:c r="N60" s="27" t="str">
        <x:v>三大仙之一。</x:v>
      </x:c>
    </x:row>
    <x:row r="61" ht="26.399999618530273" hidden="0" customHeight="1">
      <x:c r="A61" s="27" t="str">
        <x:v>Y060</x:v>
      </x:c>
      <x:c r="B61" s="27" t="str">
        <x:v>车迟国王</x:v>
      </x:c>
      <x:c r="C61" s="27" t="str">
        <x:v>第44—46回</x:v>
      </x:c>
      <x:c r="D61" s="27" t="str">
        <x:v>人间国王/制度授信者</x:v>
      </x:c>
      <x:c r="E61" s="27" t="str">
        <x:v>车迟国王权系统</x:v>
      </x:c>
      <x:c r="F61" s="27" t="str">
        <x:v>否</x:v>
      </x:c>
      <x:c r="G61" s="27" t="str">
        <x:v>受三大仙影响</x:v>
      </x:c>
      <x:c r="H61" s="27" t="str">
        <x:v>宠信三大仙，形成崇道抑佛的制度偏差，后醒悟。</x:v>
      </x:c>
      <x:c r="I61" s="27" t="str">
        <x:v>权力判断失误会放大伪权威危害。</x:v>
      </x:c>
      <x:c r="J61" s="27" t="str">
        <x:v>人间王权/误授权力</x:v>
      </x:c>
      <x:c r="K61" s="27" t="str">
        <x:v>斗法后纠偏</x:v>
      </x:c>
      <x:c r="L61" s="27" t="str">
        <x:v>待校核原文</x:v>
      </x:c>
      <x:c r="M61" s="27" t="str">
        <x:v>https://zh.wikisource.org/wiki/西游记/第四十六回</x:v>
      </x:c>
      <x:c r="N61" s="27" t="str">
        <x:v>可与乌鸡国真假王权对照。</x:v>
      </x:c>
    </x:row>
    <x:row r="62" ht="26.399999618530273" hidden="0" customHeight="1">
      <x:c r="A62" s="27" t="str">
        <x:v>Y061</x:v>
      </x:c>
      <x:c r="B62" s="27" t="str">
        <x:v>灵感大王</x:v>
      </x:c>
      <x:c r="C62" s="27" t="str">
        <x:v>第47—49回</x:v>
      </x:c>
      <x:c r="D62" s="27" t="str">
        <x:v>水域妖王/金鱼成精</x:v>
      </x:c>
      <x:c r="E62" s="27" t="str">
        <x:v>观音莲池外溢</x:v>
      </x:c>
      <x:c r="F62" s="27" t="str">
        <x:v>是</x:v>
      </x:c>
      <x:c r="G62" s="27" t="str">
        <x:v>观音莲池金鱼</x:v>
      </x:c>
      <x:c r="H62" s="27" t="str">
        <x:v>在通天河索取童男童女，摄唐僧入水府，后被观音收回。</x:v>
      </x:c>
      <x:c r="I62" s="27" t="str">
        <x:v>祭祀型地方恐惧；佛门资源外溢。</x:v>
      </x:c>
      <x:c r="J62" s="27" t="str">
        <x:v>后台妖怪/水域妖患/祭祀风险</x:v>
      </x:c>
      <x:c r="K62" s="27" t="str">
        <x:v>观音鱼篮收回</x:v>
      </x:c>
      <x:c r="L62" s="27" t="str">
        <x:v>待校核原文</x:v>
      </x:c>
      <x:c r="M62" s="27" t="str">
        <x:v>https://zh.wikisource.org/wiki/西游记/第四十九回</x:v>
      </x:c>
      <x:c r="N62" s="27" t="str">
        <x:v>后台妖怪表重点样本。</x:v>
      </x:c>
    </x:row>
    <x:row r="63" ht="26.399999618530273" hidden="0" customHeight="1">
      <x:c r="A63" s="27" t="str">
        <x:v>Y062</x:v>
      </x:c>
      <x:c r="B63" s="27" t="str">
        <x:v>陈家庄百姓/陈清陈澄</x:v>
      </x:c>
      <x:c r="C63" s="27" t="str">
        <x:v>第47—49回</x:v>
      </x:c>
      <x:c r="D63" s="27" t="str">
        <x:v>地方民众/受害共同体</x:v>
      </x:c>
      <x:c r="E63" s="27" t="str">
        <x:v>人间地方社会</x:v>
      </x:c>
      <x:c r="F63" s="27" t="str">
        <x:v>否</x:v>
      </x:c>
      <x:c r="G63" s="27" t="str">
        <x:v>地方治理弱势群体</x:v>
      </x:c>
      <x:c r="H63" s="27" t="str">
        <x:v>长期向灵感大王献童男童女以求免灾。</x:v>
      </x:c>
      <x:c r="I63" s="27" t="str">
        <x:v>民生困厄与错误制度化。</x:v>
      </x:c>
      <x:c r="J63" s="27" t="str">
        <x:v>受害者/地方治理样本</x:v>
      </x:c>
      <x:c r="K63" s="27" t="str">
        <x:v>悟空等介入，观音收妖后解除</x:v>
      </x:c>
      <x:c r="L63" s="27" t="str">
        <x:v>待校核原文</x:v>
      </x:c>
      <x:c r="M63" s="27" t="str">
        <x:v>https://zh.wikisource.org/wiki/西游记/第四十七回</x:v>
      </x:c>
      <x:c r="N63" s="27" t="str">
        <x:v>可纳入“民生视角读西游”。</x:v>
      </x:c>
    </x:row>
    <x:row r="64" ht="26.399999618530273" hidden="0" customHeight="1">
      <x:c r="A64" s="27" t="str">
        <x:v>Y063</x:v>
      </x:c>
      <x:c r="B64" s="27" t="str">
        <x:v>独角兕大王/青牛</x:v>
      </x:c>
      <x:c r="C64" s="27" t="str">
        <x:v>第50—52回</x:v>
      </x:c>
      <x:c r="D64" s="27" t="str">
        <x:v>坐骑下界为妖</x:v>
      </x:c>
      <x:c r="E64" s="27" t="str">
        <x:v>太上老君系统</x:v>
      </x:c>
      <x:c r="F64" s="27" t="str">
        <x:v>是</x:v>
      </x:c>
      <x:c r="G64" s="27" t="str">
        <x:v>太上老君青牛，携金刚琢</x:v>
      </x:c>
      <x:c r="H64" s="27" t="str">
        <x:v>据金兜洞，凭金刚琢收摄兵器，困扰取经团队。</x:v>
      </x:c>
      <x:c r="I64" s="27" t="str">
        <x:v>工具权力压制常规能力；老君系统资源外溢。</x:v>
      </x:c>
      <x:c r="J64" s="27" t="str">
        <x:v>后台妖怪/坐骑下界/法宝压制</x:v>
      </x:c>
      <x:c r="K64" s="27" t="str">
        <x:v>太上老君收回</x:v>
      </x:c>
      <x:c r="L64" s="27" t="str">
        <x:v>待校核原文</x:v>
      </x:c>
      <x:c r="M64" s="27" t="str">
        <x:v>https://zh.wikisource.org/wiki/西游记/第五十二回</x:v>
      </x:c>
      <x:c r="N64" s="27" t="str">
        <x:v>与金角银角同属老君系统样本。</x:v>
      </x:c>
    </x:row>
    <x:row r="65" ht="26.399999618530273" hidden="0" customHeight="1">
      <x:c r="A65" s="27" t="str">
        <x:v>Y064</x:v>
      </x:c>
      <x:c r="B65" s="27" t="str">
        <x:v>金刚琢</x:v>
      </x:c>
      <x:c r="C65" s="27" t="str">
        <x:v>第50—52回</x:v>
      </x:c>
      <x:c r="D65" s="27" t="str">
        <x:v>法宝/系统资源</x:v>
      </x:c>
      <x:c r="E65" s="27" t="str">
        <x:v>太上老君系统</x:v>
      </x:c>
      <x:c r="F65" s="27" t="str">
        <x:v>否</x:v>
      </x:c>
      <x:c r="G65" s="27" t="str">
        <x:v>太上老君法宝</x:v>
      </x:c>
      <x:c r="H65" s="27" t="str">
        <x:v>收摄兵器法宝，使诸神救援屡屡失效。</x:v>
      </x:c>
      <x:c r="I65" s="27" t="str">
        <x:v>规则性压制；工具垄断。</x:v>
      </x:c>
      <x:c r="J65" s="27" t="str">
        <x:v>法宝/规则工具/系统资源</x:v>
      </x:c>
      <x:c r="K65" s="27" t="str">
        <x:v>太上老君收回</x:v>
      </x:c>
      <x:c r="L65" s="27" t="str">
        <x:v>待校核原文</x:v>
      </x:c>
      <x:c r="M65" s="27" t="str">
        <x:v>https://zh.wikisource.org/wiki/西游记/第五十二回</x:v>
      </x:c>
      <x:c r="N65" s="27" t="str">
        <x:v>同步录入法宝表。</x:v>
      </x:c>
    </x:row>
    <x:row r="66" ht="39.599998474121094" hidden="0" customHeight="1">
      <x:c r="A66" s="27" t="str">
        <x:v>Y065</x:v>
      </x:c>
      <x:c r="B66" s="27" t="str">
        <x:v>老鼋/通天河鼋</x:v>
      </x:c>
      <x:c r="C66" s="27" t="str">
        <x:v>第49回及后续伏笔</x:v>
      </x:c>
      <x:c r="D66" s="27" t="str">
        <x:v>水族/渡河者</x:v>
      </x:c>
      <x:c r="E66" s="27" t="str">
        <x:v>通天河水域</x:v>
      </x:c>
      <x:c r="F66" s="27" t="str">
        <x:v>否</x:v>
      </x:c>
      <x:c r="G66" s="27" t="str">
        <x:v>地方水族</x:v>
      </x:c>
      <x:c r="H66" s="27" t="str">
        <x:v>承载唐僧师徒过河，并托问寿命；后续因未得答复引发经卷落水伏笔。</x:v>
      </x:c>
      <x:c r="I66" s="27" t="str">
        <x:v>恩义、承诺与后续因果。</x:v>
      </x:c>
      <x:c r="J66" s="27" t="str">
        <x:v>伏笔角色/水域关系</x:v>
      </x:c>
      <x:c r="K66" s="27" t="str">
        <x:v>后续第99回再校核</x:v>
      </x:c>
      <x:c r="L66" s="27" t="str">
        <x:v>待校核原文</x:v>
      </x:c>
      <x:c r="M66" s="27" t="str">
        <x:v>https://zh.wikisource.org/wiki/西游记/第四十九回</x:v>
      </x:c>
      <x:c r="N66" s="27" t="str">
        <x:v>本阶段只作伏笔登记。</x:v>
      </x:c>
    </x:row>
    <x:row r="67" ht="26.399999618530273" hidden="0" customHeight="1">
      <x:c r="A67" s="27" t="str">
        <x:v>Y061</x:v>
      </x:c>
      <x:c r="B67" s="27" t="str">
        <x:v>如意真仙</x:v>
      </x:c>
      <x:c r="C67" s="27" t="str">
        <x:v>第53回</x:v>
      </x:c>
      <x:c r="D67" s="27" t="str">
        <x:v>守泉者/道门异人</x:v>
      </x:c>
      <x:c r="E67" s="27" t="str">
        <x:v>解阳山落胎泉系统</x:v>
      </x:c>
      <x:c r="F67" s="27" t="str">
        <x:v>否/阻碍者</x:v>
      </x:c>
      <x:c r="G67" s="27" t="str">
        <x:v>牛魔王亲属关联</x:v>
      </x:c>
      <x:c r="H67" s="27" t="str">
        <x:v>把守落胎泉，与悟空冲突。</x:v>
      </x:c>
      <x:c r="I67" s="27" t="str">
        <x:v>关键资源节点的把守者；身体困局的解法被局部势力控制。</x:v>
      </x:c>
      <x:c r="J67" s="27" t="str">
        <x:v>资源把守者/地方权力</x:v>
      </x:c>
      <x:c r="K67" s="27" t="str">
        <x:v>悟空争取泉水</x:v>
      </x:c>
      <x:c r="L67" s="27" t="str">
        <x:v>待校核原文</x:v>
      </x:c>
      <x:c r="M67" s="27" t="str">
        <x:v>https://zh.wikisource.org/wiki/西游记/第五十三回</x:v>
      </x:c>
      <x:c r="N67" s="27" t="str">
        <x:v>与牛魔王家族链条可关联。</x:v>
      </x:c>
    </x:row>
    <x:row r="68" ht="26.399999618530273" hidden="0" customHeight="1">
      <x:c r="A68" s="27" t="str">
        <x:v>Y062</x:v>
      </x:c>
      <x:c r="B68" s="27" t="str">
        <x:v>女儿国王</x:v>
      </x:c>
      <x:c r="C68" s="27" t="str">
        <x:v>第54回</x:v>
      </x:c>
      <x:c r="D68" s="27" t="str">
        <x:v>人间君主</x:v>
      </x:c>
      <x:c r="E68" s="27" t="str">
        <x:v>西梁女国</x:v>
      </x:c>
      <x:c r="F68" s="27" t="str">
        <x:v>否</x:v>
      </x:c>
      <x:c r="G68" s="27" t="str">
        <x:v>女儿国王权系统</x:v>
      </x:c>
      <x:c r="H68" s="27" t="str">
        <x:v>欲招唐僧为夫，推动婚姻与取经使命冲突。</x:v>
      </x:c>
      <x:c r="I68" s="27" t="str">
        <x:v>柔性权力与情感诱惑的复杂样本。</x:v>
      </x:c>
      <x:c r="J68" s="27" t="str">
        <x:v>人间王权/情感诱惑</x:v>
      </x:c>
      <x:c r="K68" s="27" t="str">
        <x:v>悟空设计脱身</x:v>
      </x:c>
      <x:c r="L68" s="27" t="str">
        <x:v>待校核原文</x:v>
      </x:c>
      <x:c r="M68" s="27" t="str">
        <x:v>https://zh.wikisource.org/wiki/西游记/第五十四回</x:v>
      </x:c>
      <x:c r="N68" s="27" t="str">
        <x:v>不应妖魔化，宜作制度与情感专题。</x:v>
      </x:c>
    </x:row>
    <x:row r="69" ht="26.399999618530273" hidden="0" customHeight="1">
      <x:c r="A69" s="27" t="str">
        <x:v>Y063</x:v>
      </x:c>
      <x:c r="B69" s="27" t="str">
        <x:v>蝎子精</x:v>
      </x:c>
      <x:c r="C69" s="27" t="str">
        <x:v>第55回</x:v>
      </x:c>
      <x:c r="D69" s="27" t="str">
        <x:v>女妖/毒敌山妖王</x:v>
      </x:c>
      <x:c r="E69" s="27" t="str">
        <x:v>妖怪系统，曾近佛门场域</x:v>
      </x:c>
      <x:c r="F69" s="27" t="str">
        <x:v>是</x:v>
      </x:c>
      <x:c r="G69" s="27" t="str">
        <x:v>疑与佛门听经场景相关，克星为昴日星官</x:v>
      </x:c>
      <x:c r="H69" s="27" t="str">
        <x:v>摄唐僧，毒伤悟空八戒。</x:v>
      </x:c>
      <x:c r="I69" s="27" t="str">
        <x:v>色欲、攻击性与高危异能结合。</x:v>
      </x:c>
      <x:c r="J69" s="27" t="str">
        <x:v>女性妖怪/毒性攻击/专业克制</x:v>
      </x:c>
      <x:c r="K69" s="27" t="str">
        <x:v>昴日星官降伏</x:v>
      </x:c>
      <x:c r="L69" s="27" t="str">
        <x:v>待校核原文</x:v>
      </x:c>
      <x:c r="M69" s="27" t="str">
        <x:v>https://zh.wikisource.org/wiki/西游记/第五十五回</x:v>
      </x:c>
      <x:c r="N69" s="27" t="str">
        <x:v>需校核“倒马毒桩”等原文。</x:v>
      </x:c>
    </x:row>
    <x:row r="70" ht="26.399999618530273" hidden="0" customHeight="1">
      <x:c r="A70" s="27" t="str">
        <x:v>Y064</x:v>
      </x:c>
      <x:c r="B70" s="27" t="str">
        <x:v>草寇</x:v>
      </x:c>
      <x:c r="C70" s="27" t="str">
        <x:v>第56回</x:v>
      </x:c>
      <x:c r="D70" s="27" t="str">
        <x:v>人间盗匪</x:v>
      </x:c>
      <x:c r="E70" s="27" t="str">
        <x:v>地方治安风险</x:v>
      </x:c>
      <x:c r="F70" s="27" t="str">
        <x:v>否</x:v>
      </x:c>
      <x:c r="G70" s="27" t="str">
        <x:v>人间社会失序</x:v>
      </x:c>
      <x:c r="H70" s="27" t="str">
        <x:v>劫掠取经团队，被悟空打杀。</x:v>
      </x:c>
      <x:c r="I70" s="27" t="str">
        <x:v>小风险触发大冲突；执行尺度与师徒信任裂缝。</x:v>
      </x:c>
      <x:c r="J70" s="27" t="str">
        <x:v>人间恶人/治安风险</x:v>
      </x:c>
      <x:c r="K70" s="27" t="str">
        <x:v>悟空武力清除</x:v>
      </x:c>
      <x:c r="L70" s="27" t="str">
        <x:v>待校核原文</x:v>
      </x:c>
      <x:c r="M70" s="27" t="str">
        <x:v>https://zh.wikisource.org/wiki/西游记/第五十六回</x:v>
      </x:c>
      <x:c r="N70" s="27" t="str">
        <x:v>不是妖怪，但对“放心猿”极关键。</x:v>
      </x:c>
    </x:row>
    <x:row r="71" ht="26.399999618530273" hidden="0" customHeight="1">
      <x:c r="A71" s="27" t="str">
        <x:v>Y065</x:v>
      </x:c>
      <x:c r="B71" s="27" t="str">
        <x:v>六耳猕猴/假美猴王</x:v>
      </x:c>
      <x:c r="C71" s="27" t="str">
        <x:v>第57—58回</x:v>
      </x:c>
      <x:c r="D71" s="27" t="str">
        <x:v>异类猿猴/真假复制者</x:v>
      </x:c>
      <x:c r="E71" s="27" t="str">
        <x:v>心性阴影/异能系统</x:v>
      </x:c>
      <x:c r="F71" s="27" t="str">
        <x:v>是/特殊</x:v>
      </x:c>
      <x:c r="G71" s="27" t="str">
        <x:v>无明确后台，如来识破其本相</x:v>
      </x:c>
      <x:c r="H71" s="27" t="str">
        <x:v>冒充悟空，另立取经班底，与真悟空难辨。</x:v>
      </x:c>
      <x:c r="I71" s="27" t="str">
        <x:v>二心、自我分裂、身份复制危机。</x:v>
      </x:c>
      <x:c r="J71" s="27" t="str">
        <x:v>心魔型/同形替代者</x:v>
      </x:c>
      <x:c r="K71" s="27" t="str">
        <x:v>如来识破，悟空击杀</x:v>
      </x:c>
      <x:c r="L71" s="27" t="str">
        <x:v>待校核原文</x:v>
      </x:c>
      <x:c r="M71" s="27" t="str">
        <x:v>https://zh.wikisource.org/wiki/西游记/第五十八回</x:v>
      </x:c>
      <x:c r="N71" s="27" t="str">
        <x:v>全书心性研究重点。</x:v>
      </x:c>
    </x:row>
    <x:row r="72" ht="26.399999618530273" hidden="0" customHeight="1">
      <x:c r="A72" s="27" t="str">
        <x:v>Y066</x:v>
      </x:c>
      <x:c r="B72" s="27" t="str">
        <x:v>谛听</x:v>
      </x:c>
      <x:c r="C72" s="27" t="str">
        <x:v>第58回</x:v>
      </x:c>
      <x:c r="D72" s="27" t="str">
        <x:v>神兽/辨听者</x:v>
      </x:c>
      <x:c r="E72" s="27" t="str">
        <x:v>地藏王系统</x:v>
      </x:c>
      <x:c r="F72" s="27" t="str">
        <x:v>否</x:v>
      </x:c>
      <x:c r="G72" s="27" t="str">
        <x:v>地府/地藏系统</x:v>
      </x:c>
      <x:c r="H72" s="27" t="str">
        <x:v>能辨真假却不敢明说，提示去如来处裁断。</x:v>
      </x:c>
      <x:c r="I72" s="27" t="str">
        <x:v>识别能力与处置权限分离。</x:v>
      </x:c>
      <x:c r="J72" s="27" t="str">
        <x:v>神兽/证据识别</x:v>
      </x:c>
      <x:c r="K72" s="27" t="str">
        <x:v>提供判断但不直接处置</x:v>
      </x:c>
      <x:c r="L72" s="27" t="str">
        <x:v>待校核原文</x:v>
      </x:c>
      <x:c r="M72" s="27" t="str">
        <x:v>https://zh.wikisource.org/wiki/西游记/第五十八回</x:v>
      </x:c>
      <x:c r="N72" s="27" t="str">
        <x:v>适合写“知道真相但不能处置”。</x:v>
      </x:c>
    </x:row>
    <x:row r="73" ht="26.399999618530273" hidden="0" customHeight="1">
      <x:c r="A73" s="27" t="str">
        <x:v>Y067</x:v>
      </x:c>
      <x:c r="B73" s="27" t="str">
        <x:v>昴日星官</x:v>
      </x:c>
      <x:c r="C73" s="27" t="str">
        <x:v>第55回</x:v>
      </x:c>
      <x:c r="D73" s="27" t="str">
        <x:v>天庭星官/克制者</x:v>
      </x:c>
      <x:c r="E73" s="27" t="str">
        <x:v>天庭系统</x:v>
      </x:c>
      <x:c r="F73" s="27" t="str">
        <x:v>否</x:v>
      </x:c>
      <x:c r="G73" s="27" t="str">
        <x:v>二十八宿/星官系统</x:v>
      </x:c>
      <x:c r="H73" s="27" t="str">
        <x:v>以天敌机制降伏蝎子精。</x:v>
      </x:c>
      <x:c r="I73" s="27" t="str">
        <x:v>专业克制机制优于蛮力对抗。</x:v>
      </x:c>
      <x:c r="J73" s="27" t="str">
        <x:v>外援/专业克制</x:v>
      </x:c>
      <x:c r="K73" s="27" t="str">
        <x:v>降伏蝎子精</x:v>
      </x:c>
      <x:c r="L73" s="27" t="str">
        <x:v>待校核原文</x:v>
      </x:c>
      <x:c r="M73" s="27" t="str">
        <x:v>https://zh.wikisource.org/wiki/西游记/第五十五回</x:v>
      </x:c>
      <x:c r="N73" s="27" t="str">
        <x:v>与灵吉、观音等外援角色对比。</x:v>
      </x:c>
    </x:row>
    <x:row r="74" ht="26.399999618530273" hidden="0" customHeight="1">
      <x:c r="A74" s="27" t="str">
        <x:v>Y073</x:v>
      </x:c>
      <x:c r="B74" s="27" t="str">
        <x:v>火焰山土地</x:v>
      </x:c>
      <x:c r="C74" s="27" t="str">
        <x:v>第59回</x:v>
      </x:c>
      <x:c r="D74" s="27" t="str">
        <x:v>土地神/信息提供者</x:v>
      </x:c>
      <x:c r="E74" s="27" t="str">
        <x:v>地方神祇系统</x:v>
      </x:c>
      <x:c r="F74" s="27" t="str">
        <x:v>否</x:v>
      </x:c>
      <x:c r="G74" s="27" t="str">
        <x:v>火焰山地方神系统</x:v>
      </x:c>
      <x:c r="H74" s="27" t="str">
        <x:v>向悟空说明火焰山与芭蕉扇关系。</x:v>
      </x:c>
      <x:c r="I74" s="27" t="str">
        <x:v>基层信息源；风险溯源入口。</x:v>
      </x:c>
      <x:c r="J74" s="27" t="str">
        <x:v>地方神祇/情报节点</x:v>
      </x:c>
      <x:c r="K74" s="27" t="str">
        <x:v>说明情况，引导借扇</x:v>
      </x:c>
      <x:c r="L74" s="27" t="str">
        <x:v>待校核原文</x:v>
      </x:c>
      <x:c r="M74" s="27" t="str">
        <x:v>https://zh.wikisource.org/wiki/西游记/第五十九回</x:v>
      </x:c>
      <x:c r="N74" s="27" t="str">
        <x:v>需校核火焰山来历叙述。</x:v>
      </x:c>
    </x:row>
    <x:row r="75" ht="26.399999618530273" hidden="0" customHeight="1">
      <x:c r="A75" s="27" t="str">
        <x:v>Y074</x:v>
      </x:c>
      <x:c r="B75" s="27" t="str">
        <x:v>铁扇公主/罗刹女</x:v>
      </x:c>
      <x:c r="C75" s="27" t="str">
        <x:v>第59—61回</x:v>
      </x:c>
      <x:c r="D75" s="27" t="str">
        <x:v>妖仙/关键资源持有者</x:v>
      </x:c>
      <x:c r="E75" s="27" t="str">
        <x:v>牛魔王家族/翠云山芭蕉洞</x:v>
      </x:c>
      <x:c r="F75" s="27" t="str">
        <x:v>争议/妖仙化角色</x:v>
      </x:c>
      <x:c r="G75" s="27" t="str">
        <x:v>牛魔王之妻、红孩儿之母</x:v>
      </x:c>
      <x:c r="H75" s="27" t="str">
        <x:v>因红孩儿旧怨拒借芭蕉扇，后交出真扇。</x:v>
      </x:c>
      <x:c r="I75" s="27" t="str">
        <x:v>关键资源掌握者；旧怨转化为当前阻力。</x:v>
      </x:c>
      <x:c r="J75" s="27" t="str">
        <x:v>家族势力/资源控制者/女性角色</x:v>
      </x:c>
      <x:c r="K75" s="27" t="str">
        <x:v>多次博弈后交扇</x:v>
      </x:c>
      <x:c r="L75" s="27" t="str">
        <x:v>待校核原文</x:v>
      </x:c>
      <x:c r="M75" s="27" t="str">
        <x:v>https://zh.wikisource.org/wiki/西游记/第五十九回</x:v>
      </x:c>
      <x:c r="N75" s="27" t="str">
        <x:v>与红孩儿、如意真仙联动研究。</x:v>
      </x:c>
    </x:row>
    <x:row r="76" ht="26.399999618530273" hidden="0" customHeight="1">
      <x:c r="A76" s="27" t="str">
        <x:v>Y075</x:v>
      </x:c>
      <x:c r="B76" s="27" t="str">
        <x:v>牛魔王</x:v>
      </x:c>
      <x:c r="C76" s="27" t="str">
        <x:v>第60—61回</x:v>
      </x:c>
      <x:c r="D76" s="27" t="str">
        <x:v>大力牛魔/家族势力核心</x:v>
      </x:c>
      <x:c r="E76" s="27" t="str">
        <x:v>积雷山摩云洞/牛魔王家族</x:v>
      </x:c>
      <x:c r="F76" s="27" t="str">
        <x:v>是/妖王</x:v>
      </x:c>
      <x:c r="G76" s="27" t="str">
        <x:v>与悟空有旧交，红孩儿之父，铁扇公主之夫</x:v>
      </x:c>
      <x:c r="H76" s="27" t="str">
        <x:v>阻挠借扇，与悟空八戒及天神大战，后被降伏。</x:v>
      </x:c>
      <x:c r="I76" s="27" t="str">
        <x:v>旧交、家族、情欲与武力交织的复杂风险中心。</x:v>
      </x:c>
      <x:c r="J76" s="27" t="str">
        <x:v>家族妖王/关系网络核心</x:v>
      </x:c>
      <x:c r="K76" s="27" t="str">
        <x:v>悟空、八戒与天神协同降伏</x:v>
      </x:c>
      <x:c r="L76" s="27" t="str">
        <x:v>待校核原文</x:v>
      </x:c>
      <x:c r="M76" s="27" t="str">
        <x:v>https://zh.wikisource.org/wiki/西游记/第六十一回</x:v>
      </x:c>
      <x:c r="N76" s="27" t="str">
        <x:v>可作为牛魔王家族链核心节点。</x:v>
      </x:c>
    </x:row>
    <x:row r="77" ht="26.399999618530273" hidden="0" customHeight="1">
      <x:c r="A77" s="27" t="str">
        <x:v>Y076</x:v>
      </x:c>
      <x:c r="B77" s="27" t="str">
        <x:v>玉面狐狸/玉面公主</x:v>
      </x:c>
      <x:c r="C77" s="27" t="str">
        <x:v>第60回</x:v>
      </x:c>
      <x:c r="D77" s="27" t="str">
        <x:v>妖姬/关系网络节点</x:v>
      </x:c>
      <x:c r="E77" s="27" t="str">
        <x:v>积雷山摩云洞</x:v>
      </x:c>
      <x:c r="F77" s="27" t="str">
        <x:v>是/妖精</x:v>
      </x:c>
      <x:c r="G77" s="27" t="str">
        <x:v>与牛魔王存在情欲/居处关系</x:v>
      </x:c>
      <x:c r="H77" s="27" t="str">
        <x:v>牵出牛魔王另一重关系场。</x:v>
      </x:c>
      <x:c r="I77" s="27" t="str">
        <x:v>情欲关系使资源协商更复杂。</x:v>
      </x:c>
      <x:c r="J77" s="27" t="str">
        <x:v>女性妖怪/关系干扰节点</x:v>
      </x:c>
      <x:c r="K77" s="27" t="str">
        <x:v>后续随牛魔王段收束</x:v>
      </x:c>
      <x:c r="L77" s="27" t="str">
        <x:v>待校核原文</x:v>
      </x:c>
      <x:c r="M77" s="27" t="str">
        <x:v>https://zh.wikisource.org/wiki/西游记/第六十回</x:v>
      </x:c>
      <x:c r="N77" s="27" t="str">
        <x:v>需按原文校核称谓和结局。</x:v>
      </x:c>
    </x:row>
    <x:row r="78" ht="26.399999618530273" hidden="0" customHeight="1">
      <x:c r="A78" s="27" t="str">
        <x:v>Y077</x:v>
      </x:c>
      <x:c r="B78" s="27" t="str">
        <x:v>芭蕉扇（火焰山段）</x:v>
      </x:c>
      <x:c r="C78" s="27" t="str">
        <x:v>第59—61回</x:v>
      </x:c>
      <x:c r="D78" s="27" t="str">
        <x:v>关键法宝/环境治理资源</x:v>
      </x:c>
      <x:c r="E78" s="27" t="str">
        <x:v>铁扇公主系统</x:v>
      </x:c>
      <x:c r="F78" s="27" t="str">
        <x:v>否</x:v>
      </x:c>
      <x:c r="G78" s="27" t="str">
        <x:v>铁扇公主所持</x:v>
      </x:c>
      <x:c r="H78" s="27" t="str">
        <x:v>可扇灭火焰山，是通行关键资源。</x:v>
      </x:c>
      <x:c r="I78" s="27" t="str">
        <x:v>资源稀缺与环境治理工具。</x:v>
      </x:c>
      <x:c r="J78" s="27" t="str">
        <x:v>法宝/关键资源</x:v>
      </x:c>
      <x:c r="K78" s="27" t="str">
        <x:v>三调取得真扇，灭火后归还</x:v>
      </x:c>
      <x:c r="L78" s="27" t="str">
        <x:v>待校核原文</x:v>
      </x:c>
      <x:c r="M78" s="27" t="str">
        <x:v>https://zh.wikisource.org/wiki/西游记/第六十一回</x:v>
      </x:c>
      <x:c r="N78" s="27" t="str">
        <x:v>需与平顶山段芭蕉扇区分。</x:v>
      </x:c>
    </x:row>
    <x:row r="79" ht="26.399999618530273" hidden="0" customHeight="1">
      <x:c r="A79" s="27" t="str">
        <x:v>Y079</x:v>
      </x:c>
      <x:c r="B79" s="27" t="str">
        <x:v>万圣龙王</x:v>
      </x:c>
      <x:c r="C79" s="27" t="str">
        <x:v>第62—63回</x:v>
      </x:c>
      <x:c r="D79" s="27" t="str">
        <x:v>龙族地方势力</x:v>
      </x:c>
      <x:c r="E79" s="27" t="str">
        <x:v>碧波潭系统</x:v>
      </x:c>
      <x:c r="F79" s="27" t="str">
        <x:v>否/偏妖化势力</x:v>
      </x:c>
      <x:c r="G79" s="27" t="str">
        <x:v>碧波潭龙宫</x:v>
      </x:c>
      <x:c r="H79" s="27" t="str">
        <x:v>与万圣公主、九头虫相关，牵涉祭赛国佛宝失窃。</x:v>
      </x:c>
      <x:c r="I79" s="27" t="str">
        <x:v>地方水族势力卷入盗宝与冤案。</x:v>
      </x:c>
      <x:c r="J79" s="27" t="str">
        <x:v>龙族系统/地方势力</x:v>
      </x:c>
      <x:c r="K79" s="27" t="str">
        <x:v>被追责清除</x:v>
      </x:c>
      <x:c r="L79" s="27" t="str">
        <x:v>待校核原文</x:v>
      </x:c>
      <x:c r="M79" s="27" t="str">
        <x:v>https://zh.wikisource.org/wiki/西游记/第六十三回</x:v>
      </x:c>
      <x:c r="N79" s="27" t="str">
        <x:v>与四海龙王不同，地方龙宫呈灰色风险。</x:v>
      </x:c>
    </x:row>
    <x:row r="80" ht="26.399999618530273" hidden="0" customHeight="1">
      <x:c r="A80" s="27" t="str">
        <x:v>Y080</x:v>
      </x:c>
      <x:c r="B80" s="27" t="str">
        <x:v>万圣公主</x:v>
      </x:c>
      <x:c r="C80" s="27" t="str">
        <x:v>第62—63回</x:v>
      </x:c>
      <x:c r="D80" s="27" t="str">
        <x:v>龙女/盗宝参与者</x:v>
      </x:c>
      <x:c r="E80" s="27" t="str">
        <x:v>碧波潭系统</x:v>
      </x:c>
      <x:c r="F80" s="27" t="str">
        <x:v>是/妖化人物</x:v>
      </x:c>
      <x:c r="G80" s="27" t="str">
        <x:v>万圣龙王之女</x:v>
      </x:c>
      <x:c r="H80" s="27" t="str">
        <x:v>参与盗取祭赛国佛宝，并与九头虫形成联盟。</x:v>
      </x:c>
      <x:c r="I80" s="27" t="str">
        <x:v>欲望、攀附与盗取神圣资源。</x:v>
      </x:c>
      <x:c r="J80" s="27" t="str">
        <x:v>龙族妖化/联盟妖怪</x:v>
      </x:c>
      <x:c r="K80" s="27" t="str">
        <x:v>被惩治</x:v>
      </x:c>
      <x:c r="L80" s="27" t="str">
        <x:v>待校核原文</x:v>
      </x:c>
      <x:c r="M80" s="27" t="str">
        <x:v>https://zh.wikisource.org/wiki/西游记/第六十三回</x:v>
      </x:c>
      <x:c r="N80" s="27" t="str">
        <x:v>适合入“失宝冤案”专题。</x:v>
      </x:c>
    </x:row>
    <x:row r="81" ht="26.399999618530273" hidden="0" customHeight="1">
      <x:c r="A81" s="27" t="str">
        <x:v>Y081</x:v>
      </x:c>
      <x:c r="B81" s="27" t="str">
        <x:v>九头虫</x:v>
      </x:c>
      <x:c r="C81" s="27" t="str">
        <x:v>第62—63回</x:v>
      </x:c>
      <x:c r="D81" s="27" t="str">
        <x:v>妖怪/驸马型角色</x:v>
      </x:c>
      <x:c r="E81" s="27" t="str">
        <x:v>碧波潭联盟</x:v>
      </x:c>
      <x:c r="F81" s="27" t="str">
        <x:v>是</x:v>
      </x:c>
      <x:c r="G81" s="27" t="str">
        <x:v>未明，依附万圣龙宫</x:v>
      </x:c>
      <x:c r="H81" s="27" t="str">
        <x:v>盗宝案核心妖怪之一，后经悟空、八戒与二郎神等协同除邪。</x:v>
      </x:c>
      <x:c r="I81" s="27" t="str">
        <x:v>联盟型妖怪；复杂风险需要外援协同。</x:v>
      </x:c>
      <x:c r="J81" s="27" t="str">
        <x:v>联盟妖怪/盗宝妖怪</x:v>
      </x:c>
      <x:c r="K81" s="27" t="str">
        <x:v>群圣协同除邪</x:v>
      </x:c>
      <x:c r="L81" s="27" t="str">
        <x:v>待校核原文</x:v>
      </x:c>
      <x:c r="M81" s="27" t="str">
        <x:v>https://zh.wikisource.org/wiki/西游记/第六十三回</x:v>
      </x:c>
      <x:c r="N81" s="27" t="str">
        <x:v>可与牛魔王、黄眉等强妖比较。</x:v>
      </x:c>
    </x:row>
    <x:row r="82" ht="26.399999618530273" hidden="0" customHeight="1">
      <x:c r="A82" s="27" t="str">
        <x:v>Y082</x:v>
      </x:c>
      <x:c r="B82" s="27" t="str">
        <x:v>孤直公等木仙庵树精</x:v>
      </x:c>
      <x:c r="C82" s="27" t="str">
        <x:v>第64回</x:v>
      </x:c>
      <x:c r="D82" s="27" t="str">
        <x:v>树精/文士化妖怪</x:v>
      </x:c>
      <x:c r="E82" s="27" t="str">
        <x:v>荆棘岭木仙庵</x:v>
      </x:c>
      <x:c r="F82" s="27" t="str">
        <x:v>是</x:v>
      </x:c>
      <x:c r="G82" s="27" t="str">
        <x:v>草木成精</x:v>
      </x:c>
      <x:c r="H82" s="27" t="str">
        <x:v>以谈诗唱和留住唐僧。</x:v>
      </x:c>
      <x:c r="I82" s="27" t="str">
        <x:v>文雅化的滞留与软性诱惑。</x:v>
      </x:c>
      <x:c r="J82" s="27" t="str">
        <x:v>植物妖/雅趣诱惑</x:v>
      </x:c>
      <x:c r="K82" s="27" t="str">
        <x:v>八戒开路破除</x:v>
      </x:c>
      <x:c r="L82" s="27" t="str">
        <x:v>待校核原文</x:v>
      </x:c>
      <x:c r="M82" s="27" t="str">
        <x:v>https://zh.wikisource.org/wiki/西游记/第六十四回</x:v>
      </x:c>
      <x:c r="N82" s="27" t="str">
        <x:v>包含孤直公、凌空子、拂云叟等。</x:v>
      </x:c>
    </x:row>
    <x:row r="83" ht="26.399999618530273" hidden="0" customHeight="1">
      <x:c r="A83" s="27" t="str">
        <x:v>Y083</x:v>
      </x:c>
      <x:c r="B83" s="27" t="str">
        <x:v>杏仙</x:v>
      </x:c>
      <x:c r="C83" s="27" t="str">
        <x:v>第64回</x:v>
      </x:c>
      <x:c r="D83" s="27" t="str">
        <x:v>女妖/植物精</x:v>
      </x:c>
      <x:c r="E83" s="27" t="str">
        <x:v>木仙庵</x:v>
      </x:c>
      <x:c r="F83" s="27" t="str">
        <x:v>是</x:v>
      </x:c>
      <x:c r="G83" s="27" t="str">
        <x:v>杏树成精</x:v>
      </x:c>
      <x:c r="H83" s="27" t="str">
        <x:v>以诗文与情态诱留唐僧。</x:v>
      </x:c>
      <x:c r="I83" s="27" t="str">
        <x:v>清雅外衣下的情欲牵缠。</x:v>
      </x:c>
      <x:c r="J83" s="27" t="str">
        <x:v>植物妖/色与雅合一</x:v>
      </x:c>
      <x:c r="K83" s="27" t="str">
        <x:v>随荆棘被破而消散/被清除</x:v>
      </x:c>
      <x:c r="L83" s="27" t="str">
        <x:v>待校核原文</x:v>
      </x:c>
      <x:c r="M83" s="27" t="str">
        <x:v>https://zh.wikisource.org/wiki/西游记/第六十四回</x:v>
      </x:c>
      <x:c r="N83" s="27" t="str">
        <x:v>可与女儿国、蝎子精作对照。</x:v>
      </x:c>
    </x:row>
    <x:row r="84" ht="26.399999618530273" hidden="0" customHeight="1">
      <x:c r="A84" s="27" t="str">
        <x:v>Y084</x:v>
      </x:c>
      <x:c r="B84" s="27" t="str">
        <x:v>黄眉老怪</x:v>
      </x:c>
      <x:c r="C84" s="27" t="str">
        <x:v>第65—66回</x:v>
      </x:c>
      <x:c r="D84" s="27" t="str">
        <x:v>童子/妖王</x:v>
      </x:c>
      <x:c r="E84" s="27" t="str">
        <x:v>弥勒系统</x:v>
      </x:c>
      <x:c r="F84" s="27" t="str">
        <x:v>是</x:v>
      </x:c>
      <x:c r="G84" s="27" t="str">
        <x:v>弥勒佛司磬童子</x:v>
      </x:c>
      <x:c r="H84" s="27" t="str">
        <x:v>假设小雷音寺，以金铙、人种袋困唐僧师徒和诸神。</x:v>
      </x:c>
      <x:c r="I84" s="27" t="str">
        <x:v>假权威与系统资源外流的极端样本。</x:v>
      </x:c>
      <x:c r="J84" s="27" t="str">
        <x:v>后台妖怪/伪权威/法宝型</x:v>
      </x:c>
      <x:c r="K84" s="27" t="str">
        <x:v>弥勒收伏</x:v>
      </x:c>
      <x:c r="L84" s="27" t="str">
        <x:v>待校核原文</x:v>
      </x:c>
      <x:c r="M84" s="27" t="str">
        <x:v>https://zh.wikisource.org/wiki/西游记/第六十六回</x:v>
      </x:c>
      <x:c r="N84" s="27" t="str">
        <x:v>后台妖怪表重点新增。</x:v>
      </x:c>
    </x:row>
    <x:row r="85" ht="26.399999618530273" hidden="0" customHeight="1">
      <x:c r="A85" s="27" t="str">
        <x:v>Y085</x:v>
      </x:c>
      <x:c r="B85" s="27" t="str">
        <x:v>蟒蛇精</x:v>
      </x:c>
      <x:c r="C85" s="27" t="str">
        <x:v>第67回</x:v>
      </x:c>
      <x:c r="D85" s="27" t="str">
        <x:v>蛇妖/地方妖怪</x:v>
      </x:c>
      <x:c r="E85" s="27" t="str">
        <x:v>驼罗庄/七绝山</x:v>
      </x:c>
      <x:c r="F85" s="27" t="str">
        <x:v>是</x:v>
      </x:c>
      <x:c r="G85" s="27" t="str">
        <x:v>地方妖魔</x:v>
      </x:c>
      <x:c r="H85" s="27" t="str">
        <x:v>盘踞驼罗庄附近，造成秽污阻路与民众困扰。</x:v>
      </x:c>
      <x:c r="I85" s="27" t="str">
        <x:v>长期积弊、污秽堆积与通行障碍。</x:v>
      </x:c>
      <x:c r="J85" s="27" t="str">
        <x:v>野生妖怪/环境型风险</x:v>
      </x:c>
      <x:c r="K85" s="27" t="str">
        <x:v>悟空等降伏清障</x:v>
      </x:c>
      <x:c r="L85" s="27" t="str">
        <x:v>待校核原文</x:v>
      </x:c>
      <x:c r="M85" s="27" t="str">
        <x:v>https://zh.wikisource.org/wiki/西游记/第六十七回</x:v>
      </x:c>
      <x:c r="N85" s="27" t="str">
        <x:v>可与地方治理、环境治理专题结合。</x:v>
      </x:c>
    </x:row>
    <x:row r="86" ht="26.399999618530273" hidden="0" customHeight="1">
      <x:c r="A86" s="27" t="str">
        <x:v>Y085</x:v>
      </x:c>
      <x:c r="B86" s="27" t="str">
        <x:v>朱紫国王</x:v>
      </x:c>
      <x:c r="C86" s="27" t="str">
        <x:v>第68—71回</x:v>
      </x:c>
      <x:c r="D86" s="27" t="str">
        <x:v>人间国王/受害者</x:v>
      </x:c>
      <x:c r="E86" s="27" t="str">
        <x:v>朱紫国王权系统</x:v>
      </x:c>
      <x:c r="F86" s="27" t="str">
        <x:v>否</x:v>
      </x:c>
      <x:c r="G86" s="27" t="str">
        <x:v>人间王权</x:v>
      </x:c>
      <x:c r="H86" s="27" t="str">
        <x:v>因金圣宫被掳而久病，后得悟空医治并复原家庭与国家秩序。</x:v>
      </x:c>
      <x:c r="I86" s="27" t="str">
        <x:v>王权失序的身体化表现。</x:v>
      </x:c>
      <x:c r="J86" s="27" t="str">
        <x:v>人间王权/治理对象</x:v>
      </x:c>
      <x:c r="K86" s="27" t="str">
        <x:v>悟空医治，金圣宫归国</x:v>
      </x:c>
      <x:c r="L86" s="27" t="str">
        <x:v>待校核原文</x:v>
      </x:c>
      <x:c r="M86" s="27" t="str">
        <x:v>https://zh.wikisource.org/wiki/西游记/第六十八回</x:v>
      </x:c>
      <x:c r="N86" s="27" t="str">
        <x:v>不是妖怪，但为朱紫国段核心治理对象。</x:v>
      </x:c>
    </x:row>
    <x:row r="87" ht="26.399999618530273" hidden="0" customHeight="1">
      <x:c r="A87" s="27" t="str">
        <x:v>Y086</x:v>
      </x:c>
      <x:c r="B87" s="27" t="str">
        <x:v>金圣宫娘娘</x:v>
      </x:c>
      <x:c r="C87" s="27" t="str">
        <x:v>第69—71回</x:v>
      </x:c>
      <x:c r="D87" s="27" t="str">
        <x:v>王后/受害者/关键证人</x:v>
      </x:c>
      <x:c r="E87" s="27" t="str">
        <x:v>朱紫国宫廷</x:v>
      </x:c>
      <x:c r="F87" s="27" t="str">
        <x:v>否</x:v>
      </x:c>
      <x:c r="G87" s="27" t="str">
        <x:v>人间后宫系统</x:v>
      </x:c>
      <x:c r="H87" s="27" t="str">
        <x:v>被赛太岁掳至洞府，后由悟空救回。</x:v>
      </x:c>
      <x:c r="I87" s="27" t="str">
        <x:v>被掳女性、王权失衡与旧案根源。</x:v>
      </x:c>
      <x:c r="J87" s="27" t="str">
        <x:v>人间受害者/秩序恢复关键</x:v>
      </x:c>
      <x:c r="K87" s="27" t="str">
        <x:v>悟空与观音协同救回</x:v>
      </x:c>
      <x:c r="L87" s="27" t="str">
        <x:v>待校核原文</x:v>
      </x:c>
      <x:c r="M87" s="27" t="str">
        <x:v>https://zh.wikisource.org/wiki/西游记/第七十一回</x:v>
      </x:c>
      <x:c r="N87" s="27" t="str">
        <x:v>可与女儿国、百花羞对照。</x:v>
      </x:c>
    </x:row>
    <x:row r="88" ht="26.399999618530273" hidden="0" customHeight="1">
      <x:c r="A88" s="27" t="str">
        <x:v>Y087</x:v>
      </x:c>
      <x:c r="B88" s="27" t="str">
        <x:v>赛太岁/金毛犼</x:v>
      </x:c>
      <x:c r="C88" s="27" t="str">
        <x:v>第69—71回</x:v>
      </x:c>
      <x:c r="D88" s="27" t="str">
        <x:v>妖王/观音坐骑</x:v>
      </x:c>
      <x:c r="E88" s="27" t="str">
        <x:v>观音系统外溢</x:v>
      </x:c>
      <x:c r="F88" s="27" t="str">
        <x:v>是</x:v>
      </x:c>
      <x:c r="G88" s="27" t="str">
        <x:v>观音坐骑金毛犼下界</x:v>
      </x:c>
      <x:c r="H88" s="27" t="str">
        <x:v>盘踞麒麟山，持紫金铃，掳金圣宫。</x:v>
      </x:c>
      <x:c r="I88" s="27" t="str">
        <x:v>后台坐骑、色欲劫掠、法宝外溢风险。</x:v>
      </x:c>
      <x:c r="J88" s="27" t="str">
        <x:v>后台妖怪/坐骑失控/法宝型风险</x:v>
      </x:c>
      <x:c r="K88" s="27" t="str">
        <x:v>观音现身收回</x:v>
      </x:c>
      <x:c r="L88" s="27" t="str">
        <x:v>待校核原文</x:v>
      </x:c>
      <x:c r="M88" s="27" t="str">
        <x:v>https://zh.wikisource.org/wiki/西游记/第七十一回</x:v>
      </x:c>
      <x:c r="N88" s="27" t="str">
        <x:v>V1.2后台妖怪重点。</x:v>
      </x:c>
    </x:row>
    <x:row r="89" ht="26.399999618530273" hidden="0" customHeight="1">
      <x:c r="A89" s="27" t="str">
        <x:v>Y088</x:v>
      </x:c>
      <x:c r="B89" s="27" t="str">
        <x:v>紫金铃</x:v>
      </x:c>
      <x:c r="C89" s="27" t="str">
        <x:v>第70—71回</x:v>
      </x:c>
      <x:c r="D89" s="27" t="str">
        <x:v>法宝/工具资源</x:v>
      </x:c>
      <x:c r="E89" s="27" t="str">
        <x:v>观音系统/金毛犼携带</x:v>
      </x:c>
      <x:c r="F89" s="27" t="str">
        <x:v>否</x:v>
      </x:c>
      <x:c r="G89" s="27" t="str">
        <x:v>观音坐骑携出</x:v>
      </x:c>
      <x:c r="H89" s="27" t="str">
        <x:v>可放烟、沙、火，构成对悟空和团队的强压制。</x:v>
      </x:c>
      <x:c r="I89" s="27" t="str">
        <x:v>工具资源放大妖魔危害。</x:v>
      </x:c>
      <x:c r="J89" s="27" t="str">
        <x:v>法宝资源/关键控制点</x:v>
      </x:c>
      <x:c r="K89" s="27" t="str">
        <x:v>悟空计盗，观音收束</x:v>
      </x:c>
      <x:c r="L89" s="27" t="str">
        <x:v>待校核原文</x:v>
      </x:c>
      <x:c r="M89" s="27" t="str">
        <x:v>https://zh.wikisource.org/wiki/西游记/第七十回</x:v>
      </x:c>
      <x:c r="N89" s="27" t="str">
        <x:v>同步入07_法宝表。</x:v>
      </x:c>
    </x:row>
    <x:row r="90" ht="26.399999618530273" hidden="0" customHeight="1">
      <x:c r="A90" s="27" t="str">
        <x:v>Y089</x:v>
      </x:c>
      <x:c r="B90" s="27" t="str">
        <x:v>有来有去</x:v>
      </x:c>
      <x:c r="C90" s="27" t="str">
        <x:v>第70回</x:v>
      </x:c>
      <x:c r="D90" s="27" t="str">
        <x:v>小妖/传报者</x:v>
      </x:c>
      <x:c r="E90" s="27" t="str">
        <x:v>麒麟山妖洞</x:v>
      </x:c>
      <x:c r="F90" s="27" t="str">
        <x:v>是</x:v>
      </x:c>
      <x:c r="G90" s="27" t="str">
        <x:v>赛太岁部属</x:v>
      </x:c>
      <x:c r="H90" s="27" t="str">
        <x:v>在悟空探洞和盗宝过程中承担传报与信息节点。</x:v>
      </x:c>
      <x:c r="I90" s="27" t="str">
        <x:v>小角色连接信息流，推动情节反转。</x:v>
      </x:c>
      <x:c r="J90" s="27" t="str">
        <x:v>妖怪部属/信息节点</x:v>
      </x:c>
      <x:c r="K90" s="27" t="str">
        <x:v>被悟空利用/反制</x:v>
      </x:c>
      <x:c r="L90" s="27" t="str">
        <x:v>待校核原文</x:v>
      </x:c>
      <x:c r="M90" s="27" t="str">
        <x:v>https://zh.wikisource.org/wiki/西游记/第七十回</x:v>
      </x:c>
      <x:c r="N90" s="27" t="str">
        <x:v>名称很有语言趣味，可入语言表。</x:v>
      </x:c>
    </x:row>
    <x:row r="91">
      <x:c r="A91" s="27" t="str">
        <x:v>Y089</x:v>
      </x:c>
      <x:c r="B91" s="27" t="str">
        <x:v>七个蜘蛛精</x:v>
      </x:c>
      <x:c r="C91" s="27" t="str">
        <x:v>第72—73回</x:v>
      </x:c>
      <x:c r="D91" s="27" t="str">
        <x:v>女性妖怪群体</x:v>
      </x:c>
      <x:c r="E91" s="27" t="str">
        <x:v>盘丝洞系统</x:v>
      </x:c>
      <x:c r="F91" s="27" t="str">
        <x:v>是</x:v>
      </x:c>
      <x:c r="G91" s="27" t="str">
        <x:v>地方妖怪/疑似旧怨网络</x:v>
      </x:c>
      <x:c r="H91" s="27" t="str">
        <x:v>以蛛丝困唐僧，后引出蜈蚣精/多目怪。</x:v>
      </x:c>
      <x:c r="I91" s="27" t="str">
        <x:v>七情、身体诱惑、缠缚之象。</x:v>
      </x:c>
      <x:c r="J91" s="27" t="str">
        <x:v>女性妖怪群像/情欲迷障</x:v>
      </x:c>
      <x:c r="K91" s="27" t="str">
        <x:v>被悟空清剿，后续牵出多目怪</x:v>
      </x:c>
      <x:c r="L91" s="27" t="str">
        <x:v>待校核原文</x:v>
      </x:c>
      <x:c r="M91" s="27" t="str">
        <x:v>https://zh.wikisource.org/wiki/西游记/第72回</x:v>
      </x:c>
      <x:c r="N91" s="27" t="str">
        <x:v>与女儿国、蝎子精对照。</x:v>
      </x:c>
    </x:row>
    <x:row r="92">
      <x:c r="A92" s="27" t="str">
        <x:v>Y090</x:v>
      </x:c>
      <x:c r="B92" s="27" t="str">
        <x:v>蜈蚣精/多目怪</x:v>
      </x:c>
      <x:c r="C92" s="27" t="str">
        <x:v>第73回</x:v>
      </x:c>
      <x:c r="D92" s="27" t="str">
        <x:v>道观妖道/多目妖</x:v>
      </x:c>
      <x:c r="E92" s="27" t="str">
        <x:v>黄花观系统</x:v>
      </x:c>
      <x:c r="F92" s="27" t="str">
        <x:v>是</x:v>
      </x:c>
      <x:c r="G92" s="27" t="str">
        <x:v>与蜘蛛精相关/非典型后台</x:v>
      </x:c>
      <x:c r="H92" s="27" t="str">
        <x:v>以毒茶与金光毒眼加害唐僧师徒，克制悟空。</x:v>
      </x:c>
      <x:c r="I92" s="27" t="str">
        <x:v>旧恨之毒、障眼之光、专业克制。</x:v>
      </x:c>
      <x:c r="J92" s="27" t="str">
        <x:v>道观伪装/高危能力型妖怪</x:v>
      </x:c>
      <x:c r="K92" s="27" t="str">
        <x:v>毗蓝婆菩萨破其妖法</x:v>
      </x:c>
      <x:c r="L92" s="27" t="str">
        <x:v>待校核原文</x:v>
      </x:c>
      <x:c r="M92" s="27" t="str">
        <x:v>https://zh.wikisource.org/wiki/西游记/第73回</x:v>
      </x:c>
      <x:c r="N92" s="27" t="str">
        <x:v>需校核其名号与场景细节。</x:v>
      </x:c>
    </x:row>
    <x:row r="93">
      <x:c r="A93" s="27" t="str">
        <x:v>Y091</x:v>
      </x:c>
      <x:c r="B93" s="27" t="str">
        <x:v>毗蓝婆菩萨</x:v>
      </x:c>
      <x:c r="C93" s="27" t="str">
        <x:v>第73回</x:v>
      </x:c>
      <x:c r="D93" s="27" t="str">
        <x:v>救援神佛/外部专家</x:v>
      </x:c>
      <x:c r="E93" s="27" t="str">
        <x:v>佛门系统</x:v>
      </x:c>
      <x:c r="F93" s="27" t="str">
        <x:v>否</x:v>
      </x:c>
      <x:c r="G93" s="27" t="str">
        <x:v>灵山/菩萨系统</x:v>
      </x:c>
      <x:c r="H93" s="27" t="str">
        <x:v>以绣花针破多目怪金光，协助悟空破局。</x:v>
      </x:c>
      <x:c r="I93" s="27" t="str">
        <x:v>专业外援、以小破大、对症下药。</x:v>
      </x:c>
      <x:c r="J93" s="27" t="str">
        <x:v>救援系统/专家资源</x:v>
      </x:c>
      <x:c r="K93" s="27" t="str">
        <x:v>破法救困</x:v>
      </x:c>
      <x:c r="L93" s="27" t="str">
        <x:v>待校核原文</x:v>
      </x:c>
      <x:c r="M93" s="27" t="str">
        <x:v>https://zh.wikisource.org/wiki/西游记/第73回</x:v>
      </x:c>
      <x:c r="N93" s="27" t="str">
        <x:v>可与灵吉、昴日星官、观音等救援角色归类。</x:v>
      </x:c>
    </x:row>
    <x:row r="94">
      <x:c r="A94" s="27" t="str">
        <x:v>Y092</x:v>
      </x:c>
      <x:c r="B94" s="27" t="str">
        <x:v>濯垢泉</x:v>
      </x:c>
      <x:c r="C94" s="27" t="str">
        <x:v>第72回</x:v>
      </x:c>
      <x:c r="D94" s="27" t="str">
        <x:v>地点/身体场景</x:v>
      </x:c>
      <x:c r="E94" s="27" t="str">
        <x:v>盘丝洞周边</x:v>
      </x:c>
      <x:c r="F94" s="27" t="str">
        <x:v>否</x:v>
      </x:c>
      <x:c r="G94" s="27" t="str">
        <x:v>地方场景</x:v>
      </x:c>
      <x:c r="H94" s="27" t="str">
        <x:v>八戒见色忘形的重要场景。</x:v>
      </x:c>
      <x:c r="I94" s="27" t="str">
        <x:v>身体、洁净与欲望悖论。</x:v>
      </x:c>
      <x:c r="J94" s="27" t="str">
        <x:v>场景型风险/情境诱导</x:v>
      </x:c>
      <x:c r="K94" s="27" t="str">
        <x:v>团队识别并脱险</x:v>
      </x:c>
      <x:c r="L94" s="27" t="str">
        <x:v>待校核原文</x:v>
      </x:c>
      <x:c r="M94" s="27" t="str">
        <x:v>https://zh.wikisource.org/wiki/西游记/第72回</x:v>
      </x:c>
      <x:c r="N94" s="27" t="str">
        <x:v>可加入地点与场景表，后续单独建表。</x:v>
      </x:c>
    </x:row>
    <x:row r="95">
      <x:c r="A95" s="27" t="str">
        <x:v>Y093</x:v>
      </x:c>
      <x:c r="B95" s="27" t="str">
        <x:v>青狮精/青毛狮子</x:v>
      </x:c>
      <x:c r="C95" s="27" t="str">
        <x:v>第74—77回</x:v>
      </x:c>
      <x:c r="D95" s="27" t="str">
        <x:v>妖王/文殊坐骑</x:v>
      </x:c>
      <x:c r="E95" s="27" t="str">
        <x:v>文殊菩萨系统外溢</x:v>
      </x:c>
      <x:c r="F95" s="27" t="str">
        <x:v>是</x:v>
      </x:c>
      <x:c r="G95" s="27" t="str">
        <x:v>文殊菩萨坐骑</x:v>
      </x:c>
      <x:c r="H95" s="27" t="str">
        <x:v>与白象、大鹏结为三魔，盘踞狮驼岭，吞噬与威压取经团队。</x:v>
      </x:c>
      <x:c r="I95" s="27" t="str">
        <x:v>后台坐骑、武力强敌、组织化妖怪成员。</x:v>
      </x:c>
      <x:c r="J95" s="27" t="str">
        <x:v>后台妖怪/坐骑失控/集团妖怪</x:v>
      </x:c>
      <x:c r="K95" s="27" t="str">
        <x:v>文殊菩萨收回</x:v>
      </x:c>
      <x:c r="L95" s="27" t="str">
        <x:v>待校核原文</x:v>
      </x:c>
      <x:c r="M95" s="27" t="str">
        <x:v>https://zh.wikisource.org/wiki/西游记/第七十七回</x:v>
      </x:c>
      <x:c r="N95" s="27" t="str">
        <x:v>与乌鸡国青毛狮子需谨慎区分与对照。</x:v>
      </x:c>
    </x:row>
    <x:row r="96">
      <x:c r="A96" s="27" t="str">
        <x:v>Y094</x:v>
      </x:c>
      <x:c r="B96" s="27" t="str">
        <x:v>白象精/黄牙老象</x:v>
      </x:c>
      <x:c r="C96" s="27" t="str">
        <x:v>第74—77回</x:v>
      </x:c>
      <x:c r="D96" s="27" t="str">
        <x:v>妖王/普贤坐骑</x:v>
      </x:c>
      <x:c r="E96" s="27" t="str">
        <x:v>普贤菩萨系统外溢</x:v>
      </x:c>
      <x:c r="F96" s="27" t="str">
        <x:v>是</x:v>
      </x:c>
      <x:c r="G96" s="27" t="str">
        <x:v>普贤菩萨坐骑</x:v>
      </x:c>
      <x:c r="H96" s="27" t="str">
        <x:v>参与狮驼岭三魔集团，构成强力阻路与团队压制。</x:v>
      </x:c>
      <x:c r="I96" s="27" t="str">
        <x:v>后台坐骑、集团协同、力量型风险。</x:v>
      </x:c>
      <x:c r="J96" s="27" t="str">
        <x:v>后台妖怪/坐骑失控/集团妖怪</x:v>
      </x:c>
      <x:c r="K96" s="27" t="str">
        <x:v>普贤菩萨收回</x:v>
      </x:c>
      <x:c r="L96" s="27" t="str">
        <x:v>待校核原文</x:v>
      </x:c>
      <x:c r="M96" s="27" t="str">
        <x:v>https://zh.wikisource.org/wiki/西游记/第七十七回</x:v>
      </x:c>
      <x:c r="N96" s="27" t="str">
        <x:v>与青狮、大鹏构成三魔结构。</x:v>
      </x:c>
    </x:row>
    <x:row r="97">
      <x:c r="A97" s="27" t="str">
        <x:v>Y095</x:v>
      </x:c>
      <x:c r="B97" s="27" t="str">
        <x:v>大鹏金翅雕</x:v>
      </x:c>
      <x:c r="C97" s="27" t="str">
        <x:v>第74—77回</x:v>
      </x:c>
      <x:c r="D97" s="27" t="str">
        <x:v>妖王/佛门亲缘关系对象</x:v>
      </x:c>
      <x:c r="E97" s="27" t="str">
        <x:v>如来相关系统</x:v>
      </x:c>
      <x:c r="F97" s="27" t="str">
        <x:v>是</x:v>
      </x:c>
      <x:c r="G97" s="27" t="str">
        <x:v>与如来系统有亲缘/特殊关系</x:v>
      </x:c>
      <x:c r="H97" s="27" t="str">
        <x:v>狮驼岭三魔之一，风险等级极高，最终由如来亲自收伏。</x:v>
      </x:c>
      <x:c r="I97" s="27" t="str">
        <x:v>强后台、特殊关系、极端风险顶点。</x:v>
      </x:c>
      <x:c r="J97" s="27" t="str">
        <x:v>后台妖怪/强关系对象/极端风险</x:v>
      </x:c>
      <x:c r="K97" s="27" t="str">
        <x:v>如来收伏</x:v>
      </x:c>
      <x:c r="L97" s="27" t="str">
        <x:v>待校核原文</x:v>
      </x:c>
      <x:c r="M97" s="27" t="str">
        <x:v>https://zh.wikisource.org/wiki/西游记/第七十七回</x:v>
      </x:c>
      <x:c r="N97" s="27" t="str">
        <x:v>后台妖怪研究中最敏感、最复杂的样本之一。</x:v>
      </x:c>
    </x:row>
    <x:row r="98">
      <x:c r="A98" s="27" t="str">
        <x:v>Y096</x:v>
      </x:c>
      <x:c r="B98" s="27" t="str">
        <x:v>狮驼国群妖</x:v>
      </x:c>
      <x:c r="C98" s="27" t="str">
        <x:v>第74—77回</x:v>
      </x:c>
      <x:c r="D98" s="27" t="str">
        <x:v>妖怪集团/区域性势力</x:v>
      </x:c>
      <x:c r="E98" s="27" t="str">
        <x:v>狮驼国/狮驼岭</x:v>
      </x:c>
      <x:c r="F98" s="27" t="str">
        <x:v>是</x:v>
      </x:c>
      <x:c r="G98" s="27" t="str">
        <x:v>三魔统领下的群妖系统</x:v>
      </x:c>
      <x:c r="H98" s="27" t="str">
        <x:v>形成区域性妖怪秩序，对人间国土造成严重占据和恐怖。</x:v>
      </x:c>
      <x:c r="I98" s="27" t="str">
        <x:v>群体恐怖、区域失序、组织化作恶。</x:v>
      </x:c>
      <x:c r="J98" s="27" t="str">
        <x:v>组织化妖怪/区域治理风险</x:v>
      </x:c>
      <x:c r="K98" s="27" t="str">
        <x:v>如来系统与悟空协同清除</x:v>
      </x:c>
      <x:c r="L98" s="27" t="str">
        <x:v>待校核原文</x:v>
      </x:c>
      <x:c r="M98" s="27" t="str">
        <x:v>https://zh.wikisource.org/wiki/西游记/第七十七回</x:v>
      </x:c>
      <x:c r="N98" s="27" t="str">
        <x:v>建议后续单独做“妖怪组织形态表”。</x:v>
      </x:c>
    </x:row>
    <x:row r="99">
      <x:c r="A99" s="27" t="str">
        <x:v>Y097</x:v>
      </x:c>
      <x:c r="B99" s="27" t="str">
        <x:v>太白金星/长庚星</x:v>
      </x:c>
      <x:c r="C99" s="27" t="str">
        <x:v>第74回</x:v>
      </x:c>
      <x:c r="D99" s="27" t="str">
        <x:v>天庭神祇/预警者</x:v>
      </x:c>
      <x:c r="E99" s="27" t="str">
        <x:v>天庭系统</x:v>
      </x:c>
      <x:c r="F99" s="27" t="str">
        <x:v>否</x:v>
      </x:c>
      <x:c r="G99" s="27" t="str">
        <x:v>天庭星官系统</x:v>
      </x:c>
      <x:c r="H99" s="27" t="str">
        <x:v>向取经团队报信，提示狮驼岭三魔凶险。</x:v>
      </x:c>
      <x:c r="I99" s="27" t="str">
        <x:v>预警系统、跨系统情报支持。</x:v>
      </x:c>
      <x:c r="J99" s="27" t="str">
        <x:v>神祇系统/预警角色</x:v>
      </x:c>
      <x:c r="K99" s="27" t="str">
        <x:v>传报风险信息</x:v>
      </x:c>
      <x:c r="L99" s="27" t="str">
        <x:v>待校核原文</x:v>
      </x:c>
      <x:c r="M99" s="27" t="str">
        <x:v>https://zh.wikisource.org/wiki/西游记/第七十四回</x:v>
      </x:c>
      <x:c r="N99" s="27" t="str">
        <x:v>可与功曹传信、土地报信等组成预警网络。</x:v>
      </x:c>
    </x:row>
    <x:row r="100">
      <x:c r="A100" s="27" t="str">
        <x:v>Y098</x:v>
      </x:c>
      <x:c r="B100" s="27" t="str">
        <x:v>文殊菩萨</x:v>
      </x:c>
      <x:c r="C100" s="27" t="str">
        <x:v>第77回</x:v>
      </x:c>
      <x:c r="D100" s="27" t="str">
        <x:v>菩萨/后台收束者</x:v>
      </x:c>
      <x:c r="E100" s="27" t="str">
        <x:v>佛门系统</x:v>
      </x:c>
      <x:c r="F100" s="27" t="str">
        <x:v>否</x:v>
      </x:c>
      <x:c r="G100" s="27" t="str">
        <x:v>灵山/菩萨系统</x:v>
      </x:c>
      <x:c r="H100" s="27" t="str">
        <x:v>收回青狮坐骑，参与狮驼岭收束。</x:v>
      </x:c>
      <x:c r="I100" s="27" t="str">
        <x:v>后台责任认领与风险收口。</x:v>
      </x:c>
      <x:c r="J100" s="27" t="str">
        <x:v>后台系统/责任主体</x:v>
      </x:c>
      <x:c r="K100" s="27" t="str">
        <x:v>收回坐骑</x:v>
      </x:c>
      <x:c r="L100" s="27" t="str">
        <x:v>待校核原文</x:v>
      </x:c>
      <x:c r="M100" s="27" t="str">
        <x:v>https://zh.wikisource.org/wiki/西游记/第七十七回</x:v>
      </x:c>
      <x:c r="N100" s="27" t="str">
        <x:v>与乌鸡国青狮段形成重复后台样本，需考据。</x:v>
      </x:c>
    </x:row>
    <x:row r="101">
      <x:c r="A101" s="27" t="str">
        <x:v>Y099</x:v>
      </x:c>
      <x:c r="B101" s="27" t="str">
        <x:v>普贤菩萨</x:v>
      </x:c>
      <x:c r="C101" s="27" t="str">
        <x:v>第77回</x:v>
      </x:c>
      <x:c r="D101" s="27" t="str">
        <x:v>菩萨/后台收束者</x:v>
      </x:c>
      <x:c r="E101" s="27" t="str">
        <x:v>佛门系统</x:v>
      </x:c>
      <x:c r="F101" s="27" t="str">
        <x:v>否</x:v>
      </x:c>
      <x:c r="G101" s="27" t="str">
        <x:v>灵山/菩萨系统</x:v>
      </x:c>
      <x:c r="H101" s="27" t="str">
        <x:v>收回白象坐骑，参与狮驼岭收束。</x:v>
      </x:c>
      <x:c r="I101" s="27" t="str">
        <x:v>后台责任认领与风险收口。</x:v>
      </x:c>
      <x:c r="J101" s="27" t="str">
        <x:v>后台系统/责任主体</x:v>
      </x:c>
      <x:c r="K101" s="27" t="str">
        <x:v>收回坐骑</x:v>
      </x:c>
      <x:c r="L101" s="27" t="str">
        <x:v>待校核原文</x:v>
      </x:c>
      <x:c r="M101" s="27" t="str">
        <x:v>https://zh.wikisource.org/wiki/西游记/第七十七回</x:v>
      </x:c>
      <x:c r="N101" s="27" t="str">
        <x:v>与白象精对应。</x:v>
      </x:c>
    </x:row>
    <x:row r="102">
      <x:c r="A102" s="27" t="str">
        <x:v>Y100</x:v>
      </x:c>
      <x:c r="B102" s="27" t="str">
        <x:v>如来佛祖</x:v>
      </x:c>
      <x:c r="C102" s="27" t="str">
        <x:v>第77回</x:v>
      </x:c>
      <x:c r="D102" s="27" t="str">
        <x:v>最高佛门权威/终局裁决者</x:v>
      </x:c>
      <x:c r="E102" s="27" t="str">
        <x:v>灵山系统</x:v>
      </x:c>
      <x:c r="F102" s="27" t="str">
        <x:v>否</x:v>
      </x:c>
      <x:c r="G102" s="27" t="str">
        <x:v>佛门最高权威</x:v>
      </x:c>
      <x:c r="H102" s="27" t="str">
        <x:v>亲自收伏大鹏并完成狮驼岭极端风险收束。</x:v>
      </x:c>
      <x:c r="I102" s="27" t="str">
        <x:v>最高层级治理、终局裁决、后台边界。</x:v>
      </x:c>
      <x:c r="J102" s="27" t="str">
        <x:v>最高权威/系统收束</x:v>
      </x:c>
      <x:c r="K102" s="27" t="str">
        <x:v>收伏大鹏、组织收束</x:v>
      </x:c>
      <x:c r="L102" s="27" t="str">
        <x:v>待校核原文</x:v>
      </x:c>
      <x:c r="M102" s="27" t="str">
        <x:v>https://zh.wikisource.org/wiki/西游记/第七十七回</x:v>
      </x:c>
      <x:c r="N102" s="27" t="str">
        <x:v>狮驼岭段说明普通救援系统已不足。</x:v>
      </x:c>
    </x:row>
    <x:row r="103">
      <x:c r="A103" s="27" t="str">
        <x:v>Y103</x:v>
      </x:c>
      <x:c r="B103" s="27" t="str">
        <x:v>比丘国王</x:v>
      </x:c>
      <x:c r="C103" s="27" t="str">
        <x:v>第78—79回</x:v>
      </x:c>
      <x:c r="D103" s="27" t="str">
        <x:v>人间国王/被妖惑者</x:v>
      </x:c>
      <x:c r="E103" s="27" t="str">
        <x:v>比丘国王权系统</x:v>
      </x:c>
      <x:c r="F103" s="27" t="str">
        <x:v>否</x:v>
      </x:c>
      <x:c r="G103" s="27" t="str">
        <x:v>人间王权，被妖国丈操控</x:v>
      </x:c>
      <x:c r="H103" s="27" t="str">
        <x:v>欲取小儿心肝为药，后被唐僧团队救正。</x:v>
      </x:c>
      <x:c r="I103" s="27" t="str">
        <x:v>王权失序；长寿欲望压倒伦理底线。</x:v>
      </x:c>
      <x:c r="J103" s="27" t="str">
        <x:v>人间王权/被妖惑治理对象</x:v>
      </x:c>
      <x:c r="K103" s="27" t="str">
        <x:v>悟空识妖，众小儿获救</x:v>
      </x:c>
      <x:c r="L103" s="27" t="str">
        <x:v>待校核原文</x:v>
      </x:c>
      <x:c r="M103" s="27" t="str">
        <x:v>https://zh.wikisource.org/wiki/西游记/第七十八回</x:v>
      </x:c>
      <x:c r="N103" s="27" t="str">
        <x:v>不是妖怪，但为风险放大器。</x:v>
      </x:c>
    </x:row>
    <x:row r="104">
      <x:c r="A104" s="27" t="str">
        <x:v>Y104</x:v>
      </x:c>
      <x:c r="B104" s="27" t="str">
        <x:v>白鹿精/国丈</x:v>
      </x:c>
      <x:c r="C104" s="27" t="str">
        <x:v>第78—79回</x:v>
      </x:c>
      <x:c r="D104" s="27" t="str">
        <x:v>坐骑妖怪/伪国丈</x:v>
      </x:c>
      <x:c r="E104" s="27" t="str">
        <x:v>南极老人/寿星系统</x:v>
      </x:c>
      <x:c r="F104" s="27" t="str">
        <x:v>是</x:v>
      </x:c>
      <x:c r="G104" s="27" t="str">
        <x:v>南极老人白鹿下界</x:v>
      </x:c>
      <x:c r="H104" s="27" t="str">
        <x:v>伪为国丈，献方害童，蛊惑国王。</x:v>
      </x:c>
      <x:c r="I104" s="27" t="str">
        <x:v>后台坐骑失管；养生术与权力结合成害。</x:v>
      </x:c>
      <x:c r="J104" s="27" t="str">
        <x:v>后台坐骑/伪官僚/王权侵蚀</x:v>
      </x:c>
      <x:c r="K104" s="27" t="str">
        <x:v>悟空擒妖，南极老人收回</x:v>
      </x:c>
      <x:c r="L104" s="27" t="str">
        <x:v>待校核原文</x:v>
      </x:c>
      <x:c r="M104" s="27" t="str">
        <x:v>https://zh.wikisource.org/wiki/西游记/第七十九回</x:v>
      </x:c>
      <x:c r="N104" s="27" t="str">
        <x:v>与金毛犼、青毛狮子可并列。</x:v>
      </x:c>
    </x:row>
    <x:row r="105">
      <x:c r="A105" s="27" t="str">
        <x:v>Y105</x:v>
      </x:c>
      <x:c r="B105" s="27" t="str">
        <x:v>狐狸精/美后</x:v>
      </x:c>
      <x:c r="C105" s="27" t="str">
        <x:v>第78—79回</x:v>
      </x:c>
      <x:c r="D105" s="27" t="str">
        <x:v>狐妖/后妃伪装</x:v>
      </x:c>
      <x:c r="E105" s="27" t="str">
        <x:v>比丘国宫廷/妖怪同谋</x:v>
      </x:c>
      <x:c r="F105" s="27" t="str">
        <x:v>是</x:v>
      </x:c>
      <x:c r="G105" s="27" t="str">
        <x:v>未明，白鹿精同党</x:v>
      </x:c>
      <x:c r="H105" s="27" t="str">
        <x:v>入宫迷惑国王，参与害童药方链条。</x:v>
      </x:c>
      <x:c r="I105" s="27" t="str">
        <x:v>色欲、宫廷迷惑与政策错误的结合。</x:v>
      </x:c>
      <x:c r="J105" s="27" t="str">
        <x:v>宫廷妖邪/色欲型/共谋者</x:v>
      </x:c>
      <x:c r="K105" s="27" t="str">
        <x:v>悟空除灭</x:v>
      </x:c>
      <x:c r="L105" s="27" t="str">
        <x:v>待校核原文</x:v>
      </x:c>
      <x:c r="M105" s="27" t="str">
        <x:v>https://zh.wikisource.org/wiki/西游记/第七十九回</x:v>
      </x:c>
      <x:c r="N105" s="27" t="str">
        <x:v>可纳入女性妖怪/宫廷风险专题。</x:v>
      </x:c>
    </x:row>
    <x:row r="106">
      <x:c r="A106" s="27" t="str">
        <x:v>Y106</x:v>
      </x:c>
      <x:c r="B106" s="27" t="str">
        <x:v>南极老人/寿星</x:v>
      </x:c>
      <x:c r="C106" s="27" t="str">
        <x:v>第79回</x:v>
      </x:c>
      <x:c r="D106" s="27" t="str">
        <x:v>神仙/后台系统</x:v>
      </x:c>
      <x:c r="E106" s="27" t="str">
        <x:v>寿星系统</x:v>
      </x:c>
      <x:c r="F106" s="27" t="str">
        <x:v>否</x:v>
      </x:c>
      <x:c r="G106" s="27" t="str">
        <x:v>白鹿精主人</x:v>
      </x:c>
      <x:c r="H106" s="27" t="str">
        <x:v>出面认领白鹿，收束比丘国风险。</x:v>
      </x:c>
      <x:c r="I106" s="27" t="str">
        <x:v>后台系统的认领与责任边界。</x:v>
      </x:c>
      <x:c r="J106" s="27" t="str">
        <x:v>神仙后台/坐骑主人</x:v>
      </x:c>
      <x:c r="K106" s="27" t="str">
        <x:v>收回白鹿</x:v>
      </x:c>
      <x:c r="L106" s="27" t="str">
        <x:v>待校核原文</x:v>
      </x:c>
      <x:c r="M106" s="27" t="str">
        <x:v>https://zh.wikisource.org/wiki/西游记/第七十九回</x:v>
      </x:c>
      <x:c r="N106" s="27" t="str">
        <x:v>需注意文本中对责任轻重的处理。</x:v>
      </x:c>
    </x:row>
    <x:row r="107">
      <x:c r="A107" s="27" t="str">
        <x:v>Y107</x:v>
      </x:c>
      <x:c r="B107" s="27" t="str">
        <x:v>地涌夫人/金鼻白毛老鼠精</x:v>
      </x:c>
      <x:c r="C107" s="27" t="str">
        <x:v>第80—83回</x:v>
      </x:c>
      <x:c r="D107" s="27" t="str">
        <x:v>女妖/义女/地洞妖怪</x:v>
      </x:c>
      <x:c r="E107" s="27" t="str">
        <x:v>天庭关联/托塔天王义女</x:v>
      </x:c>
      <x:c r="F107" s="27" t="str">
        <x:v>是</x:v>
      </x:c>
      <x:c r="G107" s="27" t="str">
        <x:v>曾被李天王、哪吒救命并结义/供奉关系</x:v>
      </x:c>
      <x:c r="H107" s="27" t="str">
        <x:v>以女子身份诱摄唐僧入无底洞，逼婚求配。</x:v>
      </x:c>
      <x:c r="I107" s="27" t="str">
        <x:v>身份迷局、欲望陷阱与亲属后台。</x:v>
      </x:c>
      <x:c r="J107" s="27" t="str">
        <x:v>后台亲属型/女性妖怪/欲望型</x:v>
      </x:c>
      <x:c r="K107" s="27" t="str">
        <x:v>托塔天王、哪吒出面，妖怪归本收束</x:v>
      </x:c>
      <x:c r="L107" s="27" t="str">
        <x:v>待校核原文</x:v>
      </x:c>
      <x:c r="M107" s="27" t="str">
        <x:v>https://zh.wikisource.org/wiki/西游记/第八十三回</x:v>
      </x:c>
      <x:c r="N107" s="27" t="str">
        <x:v>后台妖怪表重点。</x:v>
      </x:c>
    </x:row>
    <x:row r="108">
      <x:c r="A108" s="27" t="str">
        <x:v>Y108</x:v>
      </x:c>
      <x:c r="B108" s="27" t="str">
        <x:v>托塔天王李靖</x:v>
      </x:c>
      <x:c r="C108" s="27" t="str">
        <x:v>第83回</x:v>
      </x:c>
      <x:c r="D108" s="27" t="str">
        <x:v>天庭武将/后台关系人</x:v>
      </x:c>
      <x:c r="E108" s="27" t="str">
        <x:v>天庭系统</x:v>
      </x:c>
      <x:c r="F108" s="27" t="str">
        <x:v>否</x:v>
      </x:c>
      <x:c r="G108" s="27" t="str">
        <x:v>地涌夫人义父/相关后台</x:v>
      </x:c>
      <x:c r="H108" s="27" t="str">
        <x:v>被悟空追责，牵出与地涌夫人关系。</x:v>
      </x:c>
      <x:c r="I108" s="27" t="str">
        <x:v>亲属关系产生责任边界问题。</x:v>
      </x:c>
      <x:c r="J108" s="27" t="str">
        <x:v>天庭后台/责任链人物</x:v>
      </x:c>
      <x:c r="K108" s="27" t="str">
        <x:v>协同收束妖怪</x:v>
      </x:c>
      <x:c r="L108" s="27" t="str">
        <x:v>待校核原文</x:v>
      </x:c>
      <x:c r="M108" s="27" t="str">
        <x:v>https://zh.wikisource.org/wiki/西游记/第八十三回</x:v>
      </x:c>
      <x:c r="N108" s="27" t="str">
        <x:v>不是妖怪，应入关系图谱。</x:v>
      </x:c>
    </x:row>
    <x:row r="109">
      <x:c r="A109" s="27" t="str">
        <x:v>Y109</x:v>
      </x:c>
      <x:c r="B109" s="27" t="str">
        <x:v>哪吒</x:v>
      </x:c>
      <x:c r="C109" s="27" t="str">
        <x:v>第83回</x:v>
      </x:c>
      <x:c r="D109" s="27" t="str">
        <x:v>天庭武将/协同者</x:v>
      </x:c>
      <x:c r="E109" s="27" t="str">
        <x:v>天庭系统</x:v>
      </x:c>
      <x:c r="F109" s="27" t="str">
        <x:v>否</x:v>
      </x:c>
      <x:c r="G109" s="27" t="str">
        <x:v>地涌夫人义兄/相关后台</x:v>
      </x:c>
      <x:c r="H109" s="27" t="str">
        <x:v>与托塔天王共同面对悟空追查，协同收妖。</x:v>
      </x:c>
      <x:c r="I109" s="27" t="str">
        <x:v>天庭系统内部关系链。</x:v>
      </x:c>
      <x:c r="J109" s="27" t="str">
        <x:v>天庭协同/后台关系</x:v>
      </x:c>
      <x:c r="K109" s="27" t="str">
        <x:v>参与收束</x:v>
      </x:c>
      <x:c r="L109" s="27" t="str">
        <x:v>待校核原文</x:v>
      </x:c>
      <x:c r="M109" s="27" t="str">
        <x:v>https://zh.wikisource.org/wiki/西游记/第八十三回</x:v>
      </x:c>
      <x:c r="N109" s="27" t="str">
        <x:v>可与前文哪吒降大圣形成对照。</x:v>
      </x:c>
    </x:row>
    <x:row r="110">
      <x:c r="A110" s="27" t="str">
        <x:v>Y110</x:v>
      </x:c>
      <x:c r="B110" s="27" t="str">
        <x:v>镇海寺众僧</x:v>
      </x:c>
      <x:c r="C110" s="27" t="str">
        <x:v>第80—81回</x:v>
      </x:c>
      <x:c r="D110" s="27" t="str">
        <x:v>寺院群体/被卷入者</x:v>
      </x:c>
      <x:c r="E110" s="27" t="str">
        <x:v>人间寺院系统</x:v>
      </x:c>
      <x:c r="F110" s="27" t="str">
        <x:v>否</x:v>
      </x:c>
      <x:c r="G110" s="27" t="str">
        <x:v>镇海寺</x:v>
      </x:c>
      <x:c r="H110" s="27" t="str">
        <x:v>收留女子，引出无底洞风险。</x:v>
      </x:c>
      <x:c r="I110" s="27" t="str">
        <x:v>善意救助与风险识别之间的张力。</x:v>
      </x:c>
      <x:c r="J110" s="27" t="str">
        <x:v>寺院系统/风险入口</x:v>
      </x:c>
      <x:c r="K110" s="27" t="str">
        <x:v>被动卷入</x:v>
      </x:c>
      <x:c r="L110" s="27" t="str">
        <x:v>待校核原文</x:v>
      </x:c>
      <x:c r="M110" s="27" t="str">
        <x:v>https://zh.wikisource.org/wiki/西游记/第八十回</x:v>
      </x:c>
      <x:c r="N110" s="27" t="str">
        <x:v>可纳入“慈悲与边界”专题。</x:v>
      </x:c>
    </x:row>
    <x:row r="111">
      <x:c r="A111" s="27" t="str">
        <x:v>Y111</x:v>
      </x:c>
      <x:c r="B111" s="27" t="str">
        <x:v>灭法国王</x:v>
      </x:c>
      <x:c r="C111" s="27" t="str">
        <x:v>第84回</x:v>
      </x:c>
      <x:c r="D111" s="27" t="str">
        <x:v>人间国王/制度风险主体</x:v>
      </x:c>
      <x:c r="E111" s="27" t="str">
        <x:v>灭法国王权系统</x:v>
      </x:c>
      <x:c r="F111" s="27" t="str">
        <x:v>否</x:v>
      </x:c>
      <x:c r="G111" s="27" t="str">
        <x:v>人间王权/政策偏执</x:v>
      </x:c>
      <x:c r="H111" s="27" t="str">
        <x:v>以灭僧为政令，制造取经团队身份风险，后转向敬法。</x:v>
      </x:c>
      <x:c r="I111" s="27" t="str">
        <x:v>制度性偏见；权力执念。</x:v>
      </x:c>
      <x:c r="J111" s="27" t="str">
        <x:v>人间王权/非妖之难/制度风险</x:v>
      </x:c>
      <x:c r="K111" s="27" t="str">
        <x:v>悟空以剃发反转化解，国王改心</x:v>
      </x:c>
      <x:c r="L111" s="27" t="str">
        <x:v>待校核原文</x:v>
      </x:c>
      <x:c r="M111" s="27" t="str">
        <x:v>https://zh.wikisource.org/wiki/西游记/第八十四回</x:v>
      </x:c>
      <x:c r="N111" s="27" t="str">
        <x:v>不是妖怪，但应纳入风险对象表。</x:v>
      </x:c>
    </x:row>
    <x:row r="112">
      <x:c r="A112" s="27" t="str">
        <x:v>Y112</x:v>
      </x:c>
      <x:c r="B112" s="27" t="str">
        <x:v>灭法国群臣/官员</x:v>
      </x:c>
      <x:c r="C112" s="27" t="str">
        <x:v>第84回</x:v>
      </x:c>
      <x:c r="D112" s="27" t="str">
        <x:v>官僚群体/政策执行者</x:v>
      </x:c>
      <x:c r="E112" s="27" t="str">
        <x:v>灭法国王权系统</x:v>
      </x:c>
      <x:c r="F112" s="27" t="str">
        <x:v>否</x:v>
      </x:c>
      <x:c r="G112" s="27" t="str">
        <x:v>人间制度执行系统</x:v>
      </x:c>
      <x:c r="H112" s="27" t="str">
        <x:v>执行或附和灭僧政策，后被剃发改装，参与转向。</x:v>
      </x:c>
      <x:c r="I112" s="27" t="str">
        <x:v>政策偏见需要执行链条才能形成现实伤害。</x:v>
      </x:c>
      <x:c r="J112" s="27" t="str">
        <x:v>制度系统/执行端</x:v>
      </x:c>
      <x:c r="K112" s="27" t="str">
        <x:v>随王转向</x:v>
      </x:c>
      <x:c r="L112" s="27" t="str">
        <x:v>待校核原文</x:v>
      </x:c>
      <x:c r="M112" s="27" t="str">
        <x:v>https://zh.wikisource.org/wiki/西游记/第八十四回</x:v>
      </x:c>
      <x:c r="N112" s="27" t="str">
        <x:v>可用于制度风险图。</x:v>
      </x:c>
    </x:row>
    <x:row r="113">
      <x:c r="A113" s="27" t="str">
        <x:v>Y113</x:v>
      </x:c>
      <x:c r="B113" s="27" t="str">
        <x:v>南山大王/豹子精</x:v>
      </x:c>
      <x:c r="C113" s="27" t="str">
        <x:v>第85—86回</x:v>
      </x:c>
      <x:c r="D113" s="27" t="str">
        <x:v>山林妖怪/洞府妖王</x:v>
      </x:c>
      <x:c r="E113" s="27" t="str">
        <x:v>隐雾山妖怪系统</x:v>
      </x:c>
      <x:c r="F113" s="27" t="str">
        <x:v>是</x:v>
      </x:c>
      <x:c r="G113" s="27" t="str">
        <x:v>无明确高层后台/地方山林妖怪</x:v>
      </x:c>
      <x:c r="H113" s="27" t="str">
        <x:v>设谋诱捕唐僧，藏于隐雾山折岳连环洞。</x:v>
      </x:c>
      <x:c r="I113" s="27" t="str">
        <x:v>普通妖怪风险；山林阻隔与信息不对称。</x:v>
      </x:c>
      <x:c r="J113" s="27" t="str">
        <x:v>野生妖怪/非后台妖怪/地方风险</x:v>
      </x:c>
      <x:c r="K113" s="27" t="str">
        <x:v>悟空、八戒协同灭除</x:v>
      </x:c>
      <x:c r="L113" s="27" t="str">
        <x:v>待校核原文</x:v>
      </x:c>
      <x:c r="M113" s="27" t="str">
        <x:v>https://zh.wikisource.org/wiki/西游记/第八十六回</x:v>
      </x:c>
      <x:c r="N113" s="27" t="str">
        <x:v>与狮驼岭三魔形成规模差异对照。</x:v>
      </x:c>
    </x:row>
    <x:row r="114">
      <x:c r="A114" s="27" t="str">
        <x:v>Y114</x:v>
      </x:c>
      <x:c r="B114" s="27" t="str">
        <x:v>隐雾山小妖群</x:v>
      </x:c>
      <x:c r="C114" s="27" t="str">
        <x:v>第85—86回</x:v>
      </x:c>
      <x:c r="D114" s="27" t="str">
        <x:v>小妖/执行层</x:v>
      </x:c>
      <x:c r="E114" s="27" t="str">
        <x:v>隐雾山妖怪系统</x:v>
      </x:c>
      <x:c r="F114" s="27" t="str">
        <x:v>是</x:v>
      </x:c>
      <x:c r="G114" s="27" t="str">
        <x:v>南山大王麾下</x:v>
      </x:c>
      <x:c r="H114" s="27" t="str">
        <x:v>配合诱捕、传递信息、营造洞府风险。</x:v>
      </x:c>
      <x:c r="I114" s="27" t="str">
        <x:v>普通风险也有执行网络。</x:v>
      </x:c>
      <x:c r="J114" s="27" t="str">
        <x:v>小妖群体/执行层/诱捕链</x:v>
      </x:c>
      <x:c r="K114" s="27" t="str">
        <x:v>随主妖败亡或溃散</x:v>
      </x:c>
      <x:c r="L114" s="27" t="str">
        <x:v>待校核原文</x:v>
      </x:c>
      <x:c r="M114" s="27" t="str">
        <x:v>https://zh.wikisource.org/wiki/西游记/第八十五回</x:v>
      </x:c>
      <x:c r="N114" s="27" t="str">
        <x:v>可用于妖怪组织层级图。</x:v>
      </x:c>
    </x:row>
    <x:row r="115">
      <x:c r="A115" s="27" t="str">
        <x:v>Y115</x:v>
      </x:c>
      <x:c r="B115" s="27" t="str">
        <x:v>馆驿人员/店家</x:v>
      </x:c>
      <x:c r="C115" s="27" t="str">
        <x:v>第84回</x:v>
      </x:c>
      <x:c r="D115" s="27" t="str">
        <x:v>人间基层接待者</x:v>
      </x:c>
      <x:c r="E115" s="27" t="str">
        <x:v>灭法国社会系统</x:v>
      </x:c>
      <x:c r="F115" s="27" t="str">
        <x:v>否</x:v>
      </x:c>
      <x:c r="G115" s="27" t="str">
        <x:v>灭法国民间/官府环境</x:v>
      </x:c>
      <x:c r="H115" s="27" t="str">
        <x:v>接待师徒，成为灭法国风险情境中的信息入口。</x:v>
      </x:c>
      <x:c r="I115" s="27" t="str">
        <x:v>基层信息往往揭示制度环境。</x:v>
      </x:c>
      <x:c r="J115" s="27" t="str">
        <x:v>人间基层/信息入口</x:v>
      </x:c>
      <x:c r="K115" s="27" t="str">
        <x:v>被动参与</x:v>
      </x:c>
      <x:c r="L115" s="27" t="str">
        <x:v>待校核原文</x:v>
      </x:c>
      <x:c r="M115" s="27" t="str">
        <x:v>https://zh.wikisource.org/wiki/西游记/第八十四回</x:v>
      </x:c>
      <x:c r="N115" s="27" t="str">
        <x:v>需校核具体人物称谓。</x:v>
      </x:c>
    </x:row>
    <x:row r="116">
      <x:c r="A116" s="27" t="str">
        <x:v>Y116</x:v>
      </x:c>
      <x:c r="B116" s="27" t="str">
        <x:v>凤仙郡侯</x:v>
      </x:c>
      <x:c r="C116" s="27" t="str">
        <x:v>第87回</x:v>
      </x:c>
      <x:c r="D116" s="27" t="str">
        <x:v>地方官/郡侯</x:v>
      </x:c>
      <x:c r="E116" s="27" t="str">
        <x:v>人间地方治理系统</x:v>
      </x:c>
      <x:c r="F116" s="27" t="str">
        <x:v>否</x:v>
      </x:c>
      <x:c r="G116" s="27" t="str">
        <x:v>凤仙郡地方权力</x:v>
      </x:c>
      <x:c r="H116" s="27" t="str">
        <x:v>因冒犯上天致郡中久旱，后在悟空劝导下悔过求雨。</x:v>
      </x:c>
      <x:c r="I116" s="27" t="str">
        <x:v>地方治理者的德行与民生责任。</x:v>
      </x:c>
      <x:c r="J116" s="27" t="str">
        <x:v>人间官员/非妖之难/天灾治理</x:v>
      </x:c>
      <x:c r="K116" s="27" t="str">
        <x:v>悔过改心，配合求雨</x:v>
      </x:c>
      <x:c r="L116" s="27" t="str">
        <x:v>待校核原文</x:v>
      </x:c>
      <x:c r="M116" s="27" t="str">
        <x:v>https://zh.wikisource.org/wiki/西游记/第八十七回</x:v>
      </x:c>
      <x:c r="N116" s="27" t="str">
        <x:v>不是妖怪，但应入风险对象。</x:v>
      </x:c>
    </x:row>
    <x:row r="117">
      <x:c r="A117" s="27" t="str">
        <x:v>Y117</x:v>
      </x:c>
      <x:c r="B117" s="27" t="str">
        <x:v>玉帝/雷部诸神</x:v>
      </x:c>
      <x:c r="C117" s="27" t="str">
        <x:v>第87回</x:v>
      </x:c>
      <x:c r="D117" s="27" t="str">
        <x:v>天庭权威/气象系统</x:v>
      </x:c>
      <x:c r="E117" s="27" t="str">
        <x:v>天庭系统</x:v>
      </x:c>
      <x:c r="F117" s="27" t="str">
        <x:v>否</x:v>
      </x:c>
      <x:c r="G117" s="27" t="str">
        <x:v>天庭最高治理系统</x:v>
      </x:c>
      <x:c r="H117" s="27" t="str">
        <x:v>掌管降雨，因凤仙郡过失而止雨；后依程序施霖。</x:v>
      </x:c>
      <x:c r="I117" s="27" t="str">
        <x:v>天庭系统与人间治理联动。</x:v>
      </x:c>
      <x:c r="J117" s="27" t="str">
        <x:v>神祇系统/上级资源</x:v>
      </x:c>
      <x:c r="K117" s="27" t="str">
        <x:v>经悟空协调后施雨</x:v>
      </x:c>
      <x:c r="L117" s="27" t="str">
        <x:v>待校核原文</x:v>
      </x:c>
      <x:c r="M117" s="27" t="str">
        <x:v>https://zh.wikisource.org/wiki/西游记/第八十七回</x:v>
      </x:c>
      <x:c r="N117" s="27" t="str">
        <x:v>可入关系图谱。</x:v>
      </x:c>
    </x:row>
    <x:row r="118">
      <x:c r="A118" s="27" t="str">
        <x:v>Y118</x:v>
      </x:c>
      <x:c r="B118" s="27" t="str">
        <x:v>玉华王</x:v>
      </x:c>
      <x:c r="C118" s="27" t="str">
        <x:v>第88—90回</x:v>
      </x:c>
      <x:c r="D118" s="27" t="str">
        <x:v>人间国王/接待者</x:v>
      </x:c>
      <x:c r="E118" s="27" t="str">
        <x:v>玉华州王权系统</x:v>
      </x:c>
      <x:c r="F118" s="27" t="str">
        <x:v>否</x:v>
      </x:c>
      <x:c r="G118" s="27" t="str">
        <x:v>人间王权</x:v>
      </x:c>
      <x:c r="H118" s="27" t="str">
        <x:v>礼遇唐僧师徒，三位王子拜师学艺，卷入兵器被盗风波。</x:v>
      </x:c>
      <x:c r="I118" s="27" t="str">
        <x:v>地方王权与取经团队的友好互动。</x:v>
      </x:c>
      <x:c r="J118" s="27" t="str">
        <x:v>人间王权/传承场景</x:v>
      </x:c>
      <x:c r="K118" s="27" t="str">
        <x:v>协助收束并受益</x:v>
      </x:c>
      <x:c r="L118" s="27" t="str">
        <x:v>待校核原文</x:v>
      </x:c>
      <x:c r="M118" s="27" t="str">
        <x:v>https://zh.wikisource.org/wiki/西游记/第八十八回</x:v>
      </x:c>
      <x:c r="N118" s="27" t="str">
        <x:v>与三王子共同研究。</x:v>
      </x:c>
    </x:row>
    <x:row r="119">
      <x:c r="A119" s="27" t="str">
        <x:v>Y119</x:v>
      </x:c>
      <x:c r="B119" s="27" t="str">
        <x:v>玉华州三王子</x:v>
      </x:c>
      <x:c r="C119" s="27" t="str">
        <x:v>第88—90回</x:v>
      </x:c>
      <x:c r="D119" s="27" t="str">
        <x:v>学习者/王子群体</x:v>
      </x:c>
      <x:c r="E119" s="27" t="str">
        <x:v>玉华州王权系统</x:v>
      </x:c>
      <x:c r="F119" s="27" t="str">
        <x:v>否</x:v>
      </x:c>
      <x:c r="G119" s="27" t="str">
        <x:v>玉华王子弟</x:v>
      </x:c>
      <x:c r="H119" s="27" t="str">
        <x:v>向悟空、八戒、沙僧学艺，兵器展示间接引出黄狮精盗器。</x:v>
      </x:c>
      <x:c r="I119" s="27" t="str">
        <x:v>学习热情与承载能力之间的张力。</x:v>
      </x:c>
      <x:c r="J119" s="27" t="str">
        <x:v>人间人物/传承对象/风险触发</x:v>
      </x:c>
      <x:c r="K119" s="27" t="str">
        <x:v>继续受教，风险后被化解</x:v>
      </x:c>
      <x:c r="L119" s="27" t="str">
        <x:v>待校核原文</x:v>
      </x:c>
      <x:c r="M119" s="27" t="str">
        <x:v>https://zh.wikisource.org/wiki/西游记/第八十八回</x:v>
      </x:c>
      <x:c r="N119" s="27" t="str">
        <x:v>可用于“传承风险”专题。</x:v>
      </x:c>
    </x:row>
    <x:row r="120">
      <x:c r="A120" s="27" t="str">
        <x:v>Y120</x:v>
      </x:c>
      <x:c r="B120" s="27" t="str">
        <x:v>黄狮精</x:v>
      </x:c>
      <x:c r="C120" s="27" t="str">
        <x:v>第89—90回</x:v>
      </x:c>
      <x:c r="D120" s="27" t="str">
        <x:v>山林妖怪/九灵元圣下属或关联妖怪</x:v>
      </x:c>
      <x:c r="E120" s="27" t="str">
        <x:v>豹头山/竹节山妖怪系统</x:v>
      </x:c>
      <x:c r="F120" s="27" t="str">
        <x:v>是</x:v>
      </x:c>
      <x:c r="G120" s="27" t="str">
        <x:v>九灵元圣体系下游/地方妖怪</x:v>
      </x:c>
      <x:c r="H120" s="27" t="str">
        <x:v>盗取三徒兵器，设钉钯宴，引出九灵元圣风险。</x:v>
      </x:c>
      <x:c r="I120" s="27" t="str">
        <x:v>小妖盗器引发高阶后台暴露。</x:v>
      </x:c>
      <x:c r="J120" s="27" t="str">
        <x:v>妖怪/资源盗取/后台下游</x:v>
      </x:c>
      <x:c r="K120" s="27" t="str">
        <x:v>被悟空等追击，后随系统被收束</x:v>
      </x:c>
      <x:c r="L120" s="27" t="str">
        <x:v>待校核原文</x:v>
      </x:c>
      <x:c r="M120" s="27" t="str">
        <x:v>https://zh.wikisource.org/wiki/西游记/第八十九回</x:v>
      </x:c>
      <x:c r="N120" s="27" t="str">
        <x:v>名称虽‘黄狮’，与九灵元圣段联动。</x:v>
      </x:c>
    </x:row>
    <x:row r="121">
      <x:c r="A121" s="27" t="str">
        <x:v>Y121</x:v>
      </x:c>
      <x:c r="B121" s="27" t="str">
        <x:v>九灵元圣/九头狮子</x:v>
      </x:c>
      <x:c r="C121" s="27" t="str">
        <x:v>第90回</x:v>
      </x:c>
      <x:c r="D121" s="27" t="str">
        <x:v>高阶坐骑/妖王</x:v>
      </x:c>
      <x:c r="E121" s="27" t="str">
        <x:v>太乙救苦天尊系统</x:v>
      </x:c>
      <x:c r="F121" s="27" t="str">
        <x:v>是</x:v>
      </x:c>
      <x:c r="G121" s="27" t="str">
        <x:v>太乙救苦天尊座下九头狮子</x:v>
      </x:c>
      <x:c r="H121" s="27" t="str">
        <x:v>坐镇九曲盘桓洞，牵出高阶后台，最终被天尊收回。</x:v>
      </x:c>
      <x:c r="I121" s="27" t="str">
        <x:v>后台妖怪等级升级；强系统资源下界。</x:v>
      </x:c>
      <x:c r="J121" s="27" t="str">
        <x:v>后台妖怪/坐骑失管/高阶风险</x:v>
      </x:c>
      <x:c r="K121" s="27" t="str">
        <x:v>太乙救苦天尊收回</x:v>
      </x:c>
      <x:c r="L121" s="27" t="str">
        <x:v>待校核原文</x:v>
      </x:c>
      <x:c r="M121" s="27" t="str">
        <x:v>https://zh.wikisource.org/wiki/西游记/第九十回</x:v>
      </x:c>
      <x:c r="N121" s="27" t="str">
        <x:v>后台妖怪表核心样本。</x:v>
      </x:c>
    </x:row>
    <x:row r="122">
      <x:c r="A122" s="27" t="str">
        <x:v>Y122</x:v>
      </x:c>
      <x:c r="B122" s="27" t="str">
        <x:v>太乙救苦天尊</x:v>
      </x:c>
      <x:c r="C122" s="27" t="str">
        <x:v>第90回</x:v>
      </x:c>
      <x:c r="D122" s="27" t="str">
        <x:v>道教高阶神祇/后台收束者</x:v>
      </x:c>
      <x:c r="E122" s="27" t="str">
        <x:v>道教神祇系统</x:v>
      </x:c>
      <x:c r="F122" s="27" t="str">
        <x:v>否</x:v>
      </x:c>
      <x:c r="G122" s="27" t="str">
        <x:v>九灵元圣所属系统</x:v>
      </x:c>
      <x:c r="H122" s="27" t="str">
        <x:v>应悟空请求出面收回九灵元圣。</x:v>
      </x:c>
      <x:c r="I122" s="27" t="str">
        <x:v>高阶后台责任与最终收束。</x:v>
      </x:c>
      <x:c r="J122" s="27" t="str">
        <x:v>神祇系统/后台责任人</x:v>
      </x:c>
      <x:c r="K122" s="27" t="str">
        <x:v>亲自收束坐骑</x:v>
      </x:c>
      <x:c r="L122" s="27" t="str">
        <x:v>待校核原文</x:v>
      </x:c>
      <x:c r="M122" s="27" t="str">
        <x:v>https://zh.wikisource.org/wiki/西游记/第九十回</x:v>
      </x:c>
      <x:c r="N122" s="27" t="str">
        <x:v>与文殊、普贤、观音、老君等后台收束者对比。</x:v>
      </x:c>
    </x:row>
    <x:row r="123">
      <x:c r="A123" s="24" t="str">
        <x:v>Y123</x:v>
      </x:c>
      <x:c r="B123" s="24" t="str">
        <x:v>金平府众僧/百姓</x:v>
      </x:c>
      <x:c r="C123" s="24" t="str">
        <x:v>第91—92回</x:v>
      </x:c>
      <x:c r="D123" s="24" t="str">
        <x:v>地方信众/供奉参与者</x:v>
      </x:c>
      <x:c r="E123" s="24" t="str">
        <x:v>金平府地方社会</x:v>
      </x:c>
      <x:c r="F123" s="24" t="str">
        <x:v>否</x:v>
      </x:c>
      <x:c r="G123" s="24" t="str">
        <x:v>地方寺院与民间信仰系统</x:v>
      </x:c>
      <x:c r="H123" s="24" t="str">
        <x:v>在元夜观灯与灯油供奉中被三犀牛怪长期利用。</x:v>
      </x:c>
      <x:c r="I123" s="24" t="str">
        <x:v>民间信仰与资源消耗被假权威劫持。</x:v>
      </x:c>
      <x:c r="J123" s="24" t="str">
        <x:v>人间社会/祭祀经济/非妖之难</x:v>
      </x:c>
      <x:c r="K123" s="24" t="str">
        <x:v>供奉链条被识破后中止</x:v>
      </x:c>
      <x:c r="L123" s="24" t="str">
        <x:v>待校核原文</x:v>
      </x:c>
      <x:c r="M123" s="24" t="str">
        <x:v>https://zh.wikisource.org/wiki/西游记/第九十一回</x:v>
      </x:c>
      <x:c r="N123" s="24" t="str">
        <x:v>不是妖怪，但构成风险环境。</x:v>
      </x:c>
    </x:row>
    <x:row r="124">
      <x:c r="A124" s="24" t="str">
        <x:v>Y124</x:v>
      </x:c>
      <x:c r="B124" s="24" t="str">
        <x:v>辟寒大王</x:v>
      </x:c>
      <x:c r="C124" s="24" t="str">
        <x:v>第91—92回</x:v>
      </x:c>
      <x:c r="D124" s="24" t="str">
        <x:v>犀牛精/妖王</x:v>
      </x:c>
      <x:c r="E124" s="24" t="str">
        <x:v>玄英洞/青龙山妖怪系统</x:v>
      </x:c>
      <x:c r="F124" s="24" t="str">
        <x:v>是</x:v>
      </x:c>
      <x:c r="G124" s="24" t="str">
        <x:v>未明/三犀牛怪之一</x:v>
      </x:c>
      <x:c r="H124" s="24" t="str">
        <x:v>与辟暑、辟尘同据玄英洞，借灯油供奉摄唐僧。</x:v>
      </x:c>
      <x:c r="I124" s="24" t="str">
        <x:v>假神显灵与地方供奉型妖怪。</x:v>
      </x:c>
      <x:c r="J124" s="24" t="str">
        <x:v>妖怪/祭祀经济/三妖集团</x:v>
      </x:c>
      <x:c r="K124" s="24" t="str">
        <x:v>被四木禽星协助擒捉</x:v>
      </x:c>
      <x:c r="L124" s="24" t="str">
        <x:v>待校核原文</x:v>
      </x:c>
      <x:c r="M124" s="24" t="str">
        <x:v>https://zh.wikisource.org/wiki/西游记/第九十二回</x:v>
      </x:c>
      <x:c r="N124" s="24" t="str">
        <x:v>三犀之一，具体细节需校核。</x:v>
      </x:c>
    </x:row>
    <x:row r="125">
      <x:c r="A125" s="24" t="str">
        <x:v>Y125</x:v>
      </x:c>
      <x:c r="B125" s="24" t="str">
        <x:v>辟暑大王</x:v>
      </x:c>
      <x:c r="C125" s="24" t="str">
        <x:v>第91—92回</x:v>
      </x:c>
      <x:c r="D125" s="24" t="str">
        <x:v>犀牛精/妖王</x:v>
      </x:c>
      <x:c r="E125" s="24" t="str">
        <x:v>玄英洞/青龙山妖怪系统</x:v>
      </x:c>
      <x:c r="F125" s="24" t="str">
        <x:v>是</x:v>
      </x:c>
      <x:c r="G125" s="24" t="str">
        <x:v>未明/三犀牛怪之一</x:v>
      </x:c>
      <x:c r="H125" s="24" t="str">
        <x:v>三犀牛怪之一，参与摄僧与对战。</x:v>
      </x:c>
      <x:c r="I125" s="24" t="str">
        <x:v>与季候/避暑名号相关，体现妖怪命名的功能化。</x:v>
      </x:c>
      <x:c r="J125" s="24" t="str">
        <x:v>妖怪/祭祀经济/三妖集团</x:v>
      </x:c>
      <x:c r="K125" s="24" t="str">
        <x:v>被四木禽星协助擒捉</x:v>
      </x:c>
      <x:c r="L125" s="24" t="str">
        <x:v>待校核原文</x:v>
      </x:c>
      <x:c r="M125" s="24" t="str">
        <x:v>https://zh.wikisource.org/wiki/西游记/第九十二回</x:v>
      </x:c>
      <x:c r="N125" s="24" t="str">
        <x:v>三犀之一。</x:v>
      </x:c>
    </x:row>
    <x:row r="126">
      <x:c r="A126" s="24" t="str">
        <x:v>Y126</x:v>
      </x:c>
      <x:c r="B126" s="24" t="str">
        <x:v>辟尘大王</x:v>
      </x:c>
      <x:c r="C126" s="24" t="str">
        <x:v>第91—92回</x:v>
      </x:c>
      <x:c r="D126" s="24" t="str">
        <x:v>犀牛精/妖王</x:v>
      </x:c>
      <x:c r="E126" s="24" t="str">
        <x:v>玄英洞/青龙山妖怪系统</x:v>
      </x:c>
      <x:c r="F126" s="24" t="str">
        <x:v>是</x:v>
      </x:c>
      <x:c r="G126" s="24" t="str">
        <x:v>未明/三犀牛怪之一</x:v>
      </x:c>
      <x:c r="H126" s="24" t="str">
        <x:v>三犀牛怪之一，参与摄僧与对战。</x:v>
      </x:c>
      <x:c r="I126" s="24" t="str">
        <x:v>与避尘名号相关，形成三名号系统。</x:v>
      </x:c>
      <x:c r="J126" s="24" t="str">
        <x:v>妖怪/祭祀经济/三妖集团</x:v>
      </x:c>
      <x:c r="K126" s="24" t="str">
        <x:v>被四木禽星协助擒捉</x:v>
      </x:c>
      <x:c r="L126" s="24" t="str">
        <x:v>待校核原文</x:v>
      </x:c>
      <x:c r="M126" s="24" t="str">
        <x:v>https://zh.wikisource.org/wiki/西游记/第九十二回</x:v>
      </x:c>
      <x:c r="N126" s="24" t="str">
        <x:v>三犀之一。</x:v>
      </x:c>
    </x:row>
    <x:row r="127">
      <x:c r="A127" s="24" t="str">
        <x:v>Y127</x:v>
      </x:c>
      <x:c r="B127" s="24" t="str">
        <x:v>四木禽星</x:v>
      </x:c>
      <x:c r="C127" s="24" t="str">
        <x:v>第92回</x:v>
      </x:c>
      <x:c r="D127" s="24" t="str">
        <x:v>天庭星宿/专业救援者</x:v>
      </x:c>
      <x:c r="E127" s="24" t="str">
        <x:v>天庭星宿系统</x:v>
      </x:c>
      <x:c r="F127" s="24" t="str">
        <x:v>否</x:v>
      </x:c>
      <x:c r="G127" s="24" t="str">
        <x:v>二十八宿系统</x:v>
      </x:c>
      <x:c r="H127" s="24" t="str">
        <x:v>应悟空请援，协助擒捉犀牛怪。</x:v>
      </x:c>
      <x:c r="I127" s="24" t="str">
        <x:v>专业克制型外部资源。</x:v>
      </x:c>
      <x:c r="J127" s="24" t="str">
        <x:v>神祇系统/专业救援/相克机制</x:v>
      </x:c>
      <x:c r="K127" s="24" t="str">
        <x:v>下界擒妖</x:v>
      </x:c>
      <x:c r="L127" s="24" t="str">
        <x:v>待校核原文</x:v>
      </x:c>
      <x:c r="M127" s="24" t="str">
        <x:v>https://zh.wikisource.org/wiki/西游记/第九十二回</x:v>
      </x:c>
      <x:c r="N127" s="24" t="str">
        <x:v>与昴日星官、毗蓝婆等专业克制者对比。</x:v>
      </x:c>
    </x:row>
    <x:row r="128">
      <x:c r="A128" s="24" t="str">
        <x:v>Y128</x:v>
      </x:c>
      <x:c r="B128" s="24" t="str">
        <x:v>天竺国王</x:v>
      </x:c>
      <x:c r="C128" s="24" t="str">
        <x:v>第93—95回</x:v>
      </x:c>
      <x:c r="D128" s="24" t="str">
        <x:v>人间国王</x:v>
      </x:c>
      <x:c r="E128" s="24" t="str">
        <x:v>天竺国王权系统</x:v>
      </x:c>
      <x:c r="F128" s="24" t="str">
        <x:v>否</x:v>
      </x:c>
      <x:c r="G128" s="24" t="str">
        <x:v>人间王权</x:v>
      </x:c>
      <x:c r="H128" s="24" t="str">
        <x:v>接待唐僧师徒，卷入真假公主与婚配风险。</x:v>
      </x:c>
      <x:c r="I128" s="24" t="str">
        <x:v>王权容易被身份替换和情欲礼制扰动。</x:v>
      </x:c>
      <x:c r="J128" s="24" t="str">
        <x:v>人间王权/身份核验</x:v>
      </x:c>
      <x:c r="K128" s="24" t="str">
        <x:v>真相揭示后恢复秩序</x:v>
      </x:c>
      <x:c r="L128" s="24" t="str">
        <x:v>待校核原文</x:v>
      </x:c>
      <x:c r="M128" s="24" t="str">
        <x:v>https://zh.wikisource.org/wiki/西游记/第九十四回</x:v>
      </x:c>
      <x:c r="N128" s="24" t="str">
        <x:v>与乌鸡国、宝象国、朱紫国对比。</x:v>
      </x:c>
    </x:row>
    <x:row r="129">
      <x:c r="A129" s="24" t="str">
        <x:v>Y129</x:v>
      </x:c>
      <x:c r="B129" s="24" t="str">
        <x:v>天竺真公主</x:v>
      </x:c>
      <x:c r="C129" s="24" t="str">
        <x:v>第93—95回</x:v>
      </x:c>
      <x:c r="D129" s="24" t="str">
        <x:v>王室成员/被替换者</x:v>
      </x:c>
      <x:c r="E129" s="24" t="str">
        <x:v>天竺国王权系统</x:v>
      </x:c>
      <x:c r="F129" s="24" t="str">
        <x:v>否</x:v>
      </x:c>
      <x:c r="G129" s="24" t="str">
        <x:v>天竺国王室</x:v>
      </x:c>
      <x:c r="H129" s="24" t="str">
        <x:v>被玉兔精替换，后身份得以恢复。</x:v>
      </x:c>
      <x:c r="I129" s="24" t="str">
        <x:v>真实身份被遮蔽，等待辨识与归正。</x:v>
      </x:c>
      <x:c r="J129" s="24" t="str">
        <x:v>人间人物/身份替换受害者</x:v>
      </x:c>
      <x:c r="K129" s="24" t="str">
        <x:v>由悟空识破玉兔后归正</x:v>
      </x:c>
      <x:c r="L129" s="24" t="str">
        <x:v>待校核原文</x:v>
      </x:c>
      <x:c r="M129" s="24" t="str">
        <x:v>https://zh.wikisource.org/wiki/西游记/第九十五回</x:v>
      </x:c>
      <x:c r="N129" s="24" t="str">
        <x:v>需校核其遭遇细节。</x:v>
      </x:c>
    </x:row>
    <x:row r="130">
      <x:c r="A130" s="24" t="str">
        <x:v>Y130</x:v>
      </x:c>
      <x:c r="B130" s="24" t="str">
        <x:v>玉兔精/假公主</x:v>
      </x:c>
      <x:c r="C130" s="24" t="str">
        <x:v>第94—95回</x:v>
      </x:c>
      <x:c r="D130" s="24" t="str">
        <x:v>月宫玉兔/妖怪化身</x:v>
      </x:c>
      <x:c r="E130" s="24" t="str">
        <x:v>太阴星君/月宫系统</x:v>
      </x:c>
      <x:c r="F130" s="24" t="str">
        <x:v>是</x:v>
      </x:c>
      <x:c r="G130" s="24" t="str">
        <x:v>太阴星君玉兔</x:v>
      </x:c>
      <x:c r="H130" s="24" t="str">
        <x:v>冒充天竺公主，欲与唐僧婚配，后被悟空识破。</x:v>
      </x:c>
      <x:c r="I130" s="24" t="str">
        <x:v>身份替换、欲望迷障与临近灵山前的最后诱惑。</x:v>
      </x:c>
      <x:c r="J130" s="24" t="str">
        <x:v>后台妖怪/身份替换/婚配诱惑</x:v>
      </x:c>
      <x:c r="K130" s="24" t="str">
        <x:v>太阴星君收回</x:v>
      </x:c>
      <x:c r="L130" s="24" t="str">
        <x:v>待校核原文</x:v>
      </x:c>
      <x:c r="M130" s="24" t="str">
        <x:v>https://zh.wikisource.org/wiki/西游记/第九十五回</x:v>
      </x:c>
      <x:c r="N130" s="24" t="str">
        <x:v>后台妖怪表重点。</x:v>
      </x:c>
    </x:row>
    <x:row r="131">
      <x:c r="A131" s="24" t="str">
        <x:v>Y131</x:v>
      </x:c>
      <x:c r="B131" s="24" t="str">
        <x:v>太阴星君</x:v>
      </x:c>
      <x:c r="C131" s="24" t="str">
        <x:v>第95回</x:v>
      </x:c>
      <x:c r="D131" s="24" t="str">
        <x:v>月宫神祇/后台收束者</x:v>
      </x:c>
      <x:c r="E131" s="24" t="str">
        <x:v>月宫系统</x:v>
      </x:c>
      <x:c r="F131" s="24" t="str">
        <x:v>否</x:v>
      </x:c>
      <x:c r="G131" s="24" t="str">
        <x:v>玉兔所属系统</x:v>
      </x:c>
      <x:c r="H131" s="24" t="str">
        <x:v>出面收回玉兔精，使真假身份归正。</x:v>
      </x:c>
      <x:c r="I131" s="24" t="str">
        <x:v>后台责任与身份归正。</x:v>
      </x:c>
      <x:c r="J131" s="24" t="str">
        <x:v>神祇系统/后台责任人</x:v>
      </x:c>
      <x:c r="K131" s="24" t="str">
        <x:v>收回玉兔</x:v>
      </x:c>
      <x:c r="L131" s="24" t="str">
        <x:v>待校核原文</x:v>
      </x:c>
      <x:c r="M131" s="24" t="str">
        <x:v>https://zh.wikisource.org/wiki/西游记/第九十五回</x:v>
      </x:c>
      <x:c r="N131" s="24" t="str">
        <x:v>与太乙救苦天尊、观音、老君等对比。</x:v>
      </x:c>
    </x:row>
    <x:row r="132">
      <x:c r="A132" s="24" t="str">
        <x:v>Y132</x:v>
      </x:c>
      <x:c r="B132" s="24" t="str">
        <x:v>给孤园/寺僧线索</x:v>
      </x:c>
      <x:c r="C132" s="24" t="str">
        <x:v>第93回</x:v>
      </x:c>
      <x:c r="D132" s="24" t="str">
        <x:v>佛教古迹/信息入口</x:v>
      </x:c>
      <x:c r="E132" s="24" t="str">
        <x:v>天竺国佛教空间</x:v>
      </x:c>
      <x:c r="F132" s="24" t="str">
        <x:v>否</x:v>
      </x:c>
      <x:c r="G132" s="24" t="str">
        <x:v>佛教因缘系统</x:v>
      </x:c>
      <x:c r="H132" s="24" t="str">
        <x:v>给孤园旧事引出佛教因缘背景，为天竺国身份情节铺垫。</x:v>
      </x:c>
      <x:c r="I132" s="24" t="str">
        <x:v>古迹因缘与现实风险交织。</x:v>
      </x:c>
      <x:c r="J132" s="24" t="str">
        <x:v>佛教空间/信息入口/因果叙事</x:v>
      </x:c>
      <x:c r="K132" s="24" t="str">
        <x:v>作为叙事铺垫</x:v>
      </x:c>
      <x:c r="L132" s="24" t="str">
        <x:v>待校核原文</x:v>
      </x:c>
      <x:c r="M132" s="24" t="str">
        <x:v>https://zh.wikisource.org/wiki/西游记/第九十三回</x:v>
      </x:c>
      <x:c r="N132" s="24" t="str">
        <x:v>用于第93回思想背景研究。</x:v>
      </x:c>
    </x:row>
    <x:row r="133" ht="48" customHeight="1">
      <x:c r="A133" s="27" t="str">
        <x:v>Y133</x:v>
      </x:c>
      <x:c r="B133" s="27" t="str">
        <x:v>寇员外</x:v>
      </x:c>
      <x:c r="C133" s="27" t="str">
        <x:v>第96—97回</x:v>
      </x:c>
      <x:c r="D133" s="27" t="str">
        <x:v>善信/外护/地方员外</x:v>
      </x:c>
      <x:c r="E133" s="27" t="str">
        <x:v>人间地方社会</x:v>
      </x:c>
      <x:c r="F133" s="27" t="str">
        <x:v>否</x:v>
      </x:c>
      <x:c r="G133" s="27" t="str">
        <x:v>地灵县/寇家</x:v>
      </x:c>
      <x:c r="H133" s="27" t="str">
        <x:v>发愿斋僧，善待取经团队，后遭盗劫与冤案牵连。</x:v>
      </x:c>
      <x:c r="I133" s="27" t="str">
        <x:v>善缘、布施与世间风险并存。</x:v>
      </x:c>
      <x:c r="J133" s="27" t="str">
        <x:v>外护人物/善缘样本</x:v>
      </x:c>
      <x:c r="K133" s="27" t="str">
        <x:v>悟空救本原，冤案澄清</x:v>
      </x:c>
      <x:c r="L133" s="27" t="str">
        <x:v>待校核原文</x:v>
      </x:c>
      <x:c r="M133" s="27" t="str">
        <x:v>https://zh.wikisource.org/wiki/西游记/第九十六回</x:v>
      </x:c>
      <x:c r="N133" s="27" t="str">
        <x:v>收官阶段重要人间人物。</x:v>
      </x:c>
    </x:row>
    <x:row r="134" ht="48" customHeight="1">
      <x:c r="A134" s="27" t="str">
        <x:v>Y134</x:v>
      </x:c>
      <x:c r="B134" s="27" t="str">
        <x:v>强盗/贼人</x:v>
      </x:c>
      <x:c r="C134" s="27" t="str">
        <x:v>第97回</x:v>
      </x:c>
      <x:c r="D134" s="27" t="str">
        <x:v>人间盗匪/非妖之恶</x:v>
      </x:c>
      <x:c r="E134" s="27" t="str">
        <x:v>地方社会风险</x:v>
      </x:c>
      <x:c r="F134" s="27" t="str">
        <x:v>否</x:v>
      </x:c>
      <x:c r="G134" s="27" t="str">
        <x:v>无后台/人间恶行</x:v>
      </x:c>
      <x:c r="H134" s="27" t="str">
        <x:v>盗劫寇家并制造冤案风险。</x:v>
      </x:c>
      <x:c r="I134" s="27" t="str">
        <x:v>人间恶不低于妖怪风险。</x:v>
      </x:c>
      <x:c r="J134" s="27" t="str">
        <x:v>非妖之难/治安风险</x:v>
      </x:c>
      <x:c r="K134" s="27" t="str">
        <x:v>追查处置</x:v>
      </x:c>
      <x:c r="L134" s="27" t="str">
        <x:v>待校核原文</x:v>
      </x:c>
      <x:c r="M134" s="27" t="str">
        <x:v>https://zh.wikisource.org/wiki/西游记/第九十七回</x:v>
      </x:c>
      <x:c r="N134" s="27" t="str">
        <x:v>与隐雾山普通妖、灭法国制度风险对照。</x:v>
      </x:c>
    </x:row>
    <x:row r="135" ht="48" customHeight="1">
      <x:c r="A135" s="27" t="str">
        <x:v>Y135</x:v>
      </x:c>
      <x:c r="B135" s="27" t="str">
        <x:v>阿傩</x:v>
      </x:c>
      <x:c r="C135" s="27" t="str">
        <x:v>第98回</x:v>
      </x:c>
      <x:c r="D135" s="27" t="str">
        <x:v>佛弟子/取经交付者</x:v>
      </x:c>
      <x:c r="E135" s="27" t="str">
        <x:v>灵山系统</x:v>
      </x:c>
      <x:c r="F135" s="27" t="str">
        <x:v>否</x:v>
      </x:c>
      <x:c r="G135" s="27" t="str">
        <x:v>如来座下</x:v>
      </x:c>
      <x:c r="H135" s="27" t="str">
        <x:v>与迦叶负责传经，索取人事，先授无字经。</x:v>
      </x:c>
      <x:c r="I135" s="27" t="str">
        <x:v>交付流程中的规则与人情。</x:v>
      </x:c>
      <x:c r="J135" s="27" t="str">
        <x:v>灵山系统/交付节点</x:v>
      </x:c>
      <x:c r="K135" s="27" t="str">
        <x:v>后传有字真经</x:v>
      </x:c>
      <x:c r="L135" s="27" t="str">
        <x:v>待校核原文</x:v>
      </x:c>
      <x:c r="M135" s="27" t="str">
        <x:v>https://zh.wikisource.org/wiki/西游记/第九十八回</x:v>
      </x:c>
      <x:c r="N135" s="27" t="str">
        <x:v>适合专题讨论经卷交易。</x:v>
      </x:c>
    </x:row>
    <x:row r="136" ht="48" customHeight="1">
      <x:c r="A136" s="27" t="str">
        <x:v>Y136</x:v>
      </x:c>
      <x:c r="B136" s="27" t="str">
        <x:v>迦叶</x:v>
      </x:c>
      <x:c r="C136" s="27" t="str">
        <x:v>第98回</x:v>
      </x:c>
      <x:c r="D136" s="27" t="str">
        <x:v>佛弟子/取经交付者</x:v>
      </x:c>
      <x:c r="E136" s="27" t="str">
        <x:v>灵山系统</x:v>
      </x:c>
      <x:c r="F136" s="27" t="str">
        <x:v>否</x:v>
      </x:c>
      <x:c r="G136" s="27" t="str">
        <x:v>如来座下</x:v>
      </x:c>
      <x:c r="H136" s="27" t="str">
        <x:v>与阿傩共同传经，涉及无字经与有字经转换。</x:v>
      </x:c>
      <x:c r="I136" s="27" t="str">
        <x:v>终局交付并非无风险。</x:v>
      </x:c>
      <x:c r="J136" s="27" t="str">
        <x:v>灵山系统/交付节点</x:v>
      </x:c>
      <x:c r="K136" s="27" t="str">
        <x:v>后传有字真经</x:v>
      </x:c>
      <x:c r="L136" s="27" t="str">
        <x:v>待校核原文</x:v>
      </x:c>
      <x:c r="M136" s="27" t="str">
        <x:v>https://zh.wikisource.org/wiki/西游记/第九十八回</x:v>
      </x:c>
      <x:c r="N136" s="27" t="str">
        <x:v>与阿傩成对记录。</x:v>
      </x:c>
    </x:row>
    <x:row r="137" ht="48" customHeight="1">
      <x:c r="A137" s="27" t="str">
        <x:v>Y137</x:v>
      </x:c>
      <x:c r="B137" s="27" t="str">
        <x:v>燃灯古佛</x:v>
      </x:c>
      <x:c r="C137" s="27" t="str">
        <x:v>第98回</x:v>
      </x:c>
      <x:c r="D137" s="27" t="str">
        <x:v>佛祖/提示者</x:v>
      </x:c>
      <x:c r="E137" s="27" t="str">
        <x:v>灵山系统</x:v>
      </x:c>
      <x:c r="F137" s="27" t="str">
        <x:v>否</x:v>
      </x:c>
      <x:c r="G137" s="27" t="str">
        <x:v>佛教高阶系统</x:v>
      </x:c>
      <x:c r="H137" s="27" t="str">
        <x:v>提示唐僧师徒所得为无字经，推动回换有字真经。</x:v>
      </x:c>
      <x:c r="I137" s="27" t="str">
        <x:v>终局质量复核与上层纠偏。</x:v>
      </x:c>
      <x:c r="J137" s="27" t="str">
        <x:v>佛教系统/质量复核</x:v>
      </x:c>
      <x:c r="K137" s="27" t="str">
        <x:v>派白雄尊者提示</x:v>
      </x:c>
      <x:c r="L137" s="27" t="str">
        <x:v>待校核原文</x:v>
      </x:c>
      <x:c r="M137" s="27" t="str">
        <x:v>https://zh.wikisource.org/wiki/西游记/第九十八回</x:v>
      </x:c>
      <x:c r="N137" s="27" t="str">
        <x:v>可作为成果验收角色。</x:v>
      </x:c>
    </x:row>
    <x:row r="138" ht="48" customHeight="1">
      <x:c r="A138" s="27" t="str">
        <x:v>Y138</x:v>
      </x:c>
      <x:c r="B138" s="27" t="str">
        <x:v>白雄尊者</x:v>
      </x:c>
      <x:c r="C138" s="27" t="str">
        <x:v>第98回</x:v>
      </x:c>
      <x:c r="D138" s="27" t="str">
        <x:v>佛门尊者/提醒执行者</x:v>
      </x:c>
      <x:c r="E138" s="27" t="str">
        <x:v>灵山系统</x:v>
      </x:c>
      <x:c r="F138" s="27" t="str">
        <x:v>否</x:v>
      </x:c>
      <x:c r="G138" s="27" t="str">
        <x:v>燃灯古佛系统</x:v>
      </x:c>
      <x:c r="H138" s="27" t="str">
        <x:v>受命追赶取经团队，提示无字经问题。</x:v>
      </x:c>
      <x:c r="I138" s="27" t="str">
        <x:v>质量预警与纠偏执行。</x:v>
      </x:c>
      <x:c r="J138" s="27" t="str">
        <x:v>佛教系统/预警节点</x:v>
      </x:c>
      <x:c r="K138" s="27" t="str">
        <x:v>提示返换真经</x:v>
      </x:c>
      <x:c r="L138" s="27" t="str">
        <x:v>待校核原文</x:v>
      </x:c>
      <x:c r="M138" s="27" t="str">
        <x:v>https://zh.wikisource.org/wiki/西游记/第九十八回</x:v>
      </x:c>
      <x:c r="N138" s="27" t="str">
        <x:v>小角色但有流程意义。</x:v>
      </x:c>
    </x:row>
    <x:row r="139" ht="48" customHeight="1">
      <x:c r="A139" s="27" t="str">
        <x:v>Y139</x:v>
      </x:c>
      <x:c r="B139" s="27" t="str">
        <x:v>如来佛祖</x:v>
      </x:c>
      <x:c r="C139" s="27" t="str">
        <x:v>第98—100回</x:v>
      </x:c>
      <x:c r="D139" s="27" t="str">
        <x:v>最高佛教权威/终局裁定者</x:v>
      </x:c>
      <x:c r="E139" s="27" t="str">
        <x:v>灵山系统</x:v>
      </x:c>
      <x:c r="F139" s="27" t="str">
        <x:v>否</x:v>
      </x:c>
      <x:c r="G139" s="27" t="str">
        <x:v>灵山最高系统</x:v>
      </x:c>
      <x:c r="H139" s="27" t="str">
        <x:v>授经、解释经卷、最终封赠五圣。</x:v>
      </x:c>
      <x:c r="I139" s="27" t="str">
        <x:v>终局授权、成果确认与角色评价。</x:v>
      </x:c>
      <x:c r="J139" s="27" t="str">
        <x:v>最高权威/收束者</x:v>
      </x:c>
      <x:c r="K139" s="27" t="str">
        <x:v>授经与封圣</x:v>
      </x:c>
      <x:c r="L139" s="27" t="str">
        <x:v>待校核原文</x:v>
      </x:c>
      <x:c r="M139" s="27" t="str">
        <x:v>https://zh.wikisource.org/wiki/西游记/第一百回</x:v>
      </x:c>
      <x:c r="N139" s="27" t="str">
        <x:v>全书闭环核心。</x:v>
      </x:c>
    </x:row>
    <x:row r="140" ht="48" customHeight="1">
      <x:c r="A140" s="27" t="str">
        <x:v>Y140</x:v>
      </x:c>
      <x:c r="B140" s="27" t="str">
        <x:v>老鼋</x:v>
      </x:c>
      <x:c r="C140" s="27" t="str">
        <x:v>第49回、第99回</x:v>
      </x:c>
      <x:c r="D140" s="27" t="str">
        <x:v>通天河水族/承载者</x:v>
      </x:c>
      <x:c r="E140" s="27" t="str">
        <x:v>通天河地方水域</x:v>
      </x:c>
      <x:c r="F140" s="27" t="str">
        <x:v>否/灵物</x:v>
      </x:c>
      <x:c r="G140" s="27" t="str">
        <x:v>通天河</x:v>
      </x:c>
      <x:c r="H140" s="27" t="str">
        <x:v>曾驮师徒过河，后因唐僧未代问年寿而在回程掀落经卷。</x:v>
      </x:c>
      <x:c r="I140" s="27" t="str">
        <x:v>承诺、回报与遗忘形成最后一难。</x:v>
      </x:c>
      <x:c r="J140" s="27" t="str">
        <x:v>水族灵物/补难角色</x:v>
      </x:c>
      <x:c r="K140" s="27" t="str">
        <x:v>经卷晒干，难数圆满</x:v>
      </x:c>
      <x:c r="L140" s="27" t="str">
        <x:v>待校核原文</x:v>
      </x:c>
      <x:c r="M140" s="27" t="str">
        <x:v>https://zh.wikisource.org/wiki/西游记/第九十九回</x:v>
      </x:c>
      <x:c r="N140" s="27" t="str">
        <x:v>首尾呼应第49回。</x:v>
      </x:c>
    </x:row>
    <x:row r="141" ht="48" customHeight="1">
      <x:c r="A141" s="27" t="str">
        <x:v>Y141</x:v>
      </x:c>
      <x:c r="B141" s="27" t="str">
        <x:v>观音菩萨</x:v>
      </x:c>
      <x:c r="C141" s="27" t="str">
        <x:v>第99回</x:v>
      </x:c>
      <x:c r="D141" s="27" t="str">
        <x:v>取经工程监察者</x:v>
      </x:c>
      <x:c r="E141" s="27" t="str">
        <x:v>灵山系统</x:v>
      </x:c>
      <x:c r="F141" s="27" t="str">
        <x:v>否</x:v>
      </x:c>
      <x:c r="G141" s="27" t="str">
        <x:v>如来授权/取经督导</x:v>
      </x:c>
      <x:c r="H141" s="27" t="str">
        <x:v>检点取经历难数，发现尚缺一难，安排补足。</x:v>
      </x:c>
      <x:c r="I141" s="27" t="str">
        <x:v>项目监督、验收复核与闭环管理。</x:v>
      </x:c>
      <x:c r="J141" s="27" t="str">
        <x:v>督导/监察/难数校核</x:v>
      </x:c>
      <x:c r="K141" s="27" t="str">
        <x:v>令揭谛补足难数</x:v>
      </x:c>
      <x:c r="L141" s="27" t="str">
        <x:v>待校核原文</x:v>
      </x:c>
      <x:c r="M141" s="27" t="str">
        <x:v>https://zh.wikisource.org/wiki/西游记/第九十九回</x:v>
      </x:c>
      <x:c r="N141" s="27" t="str">
        <x:v>与第8回使命发布首尾相接。</x:v>
      </x:c>
    </x:row>
    <x:row r="142" ht="48" customHeight="1">
      <x:c r="A142" s="27" t="str">
        <x:v>Y142</x:v>
      </x:c>
      <x:c r="B142" s="27" t="str">
        <x:v>唐太宗</x:v>
      </x:c>
      <x:c r="C142" s="27" t="str">
        <x:v>第10—12回、第100回</x:v>
      </x:c>
      <x:c r="D142" s="27" t="str">
        <x:v>人间帝王/取经任务接收者</x:v>
      </x:c>
      <x:c r="E142" s="27" t="str">
        <x:v>大唐王权系统</x:v>
      </x:c>
      <x:c r="F142" s="27" t="str">
        <x:v>否</x:v>
      </x:c>
      <x:c r="G142" s="27" t="str">
        <x:v>长安/大唐</x:v>
      </x:c>
      <x:c r="H142" s="27" t="str">
        <x:v>发起取经礼送，最后迎回真经。</x:v>
      </x:c>
      <x:c r="I142" s="27" t="str">
        <x:v>任务发起端与成果接收端闭环。</x:v>
      </x:c>
      <x:c r="J142" s="27" t="str">
        <x:v>人间王权/成果接收</x:v>
      </x:c>
      <x:c r="K142" s="27" t="str">
        <x:v>迎接真经，护持传播</x:v>
      </x:c>
      <x:c r="L142" s="27" t="str">
        <x:v>待校核原文</x:v>
      </x:c>
      <x:c r="M142" s="27" t="str">
        <x:v>https://zh.wikisource.org/wiki/西游记/第一百回</x:v>
      </x:c>
      <x:c r="N142" s="27" t="str">
        <x:v>与唐僧形成国家使命关系。</x:v>
      </x:c>
    </x:row>
    <x:row r="143" ht="48" customHeight="1">
      <x:c r="A143" s="27" t="str">
        <x:v>Y143</x:v>
      </x:c>
      <x:c r="B143" s="27" t="str">
        <x:v>五圣成真</x:v>
      </x:c>
      <x:c r="C143" s="27" t="str">
        <x:v>第100回</x:v>
      </x:c>
      <x:c r="D143" s="27" t="str">
        <x:v>功德封号/结果状态</x:v>
      </x:c>
      <x:c r="E143" s="27" t="str">
        <x:v>灵山系统</x:v>
      </x:c>
      <x:c r="F143" s="27" t="str">
        <x:v>否</x:v>
      </x:c>
      <x:c r="G143" s="27" t="str">
        <x:v>如来封赠</x:v>
      </x:c>
      <x:c r="H143" s="27" t="str">
        <x:v>唐僧、悟空、八戒、沙僧、白龙马各得封号。</x:v>
      </x:c>
      <x:c r="I143" s="27" t="str">
        <x:v>角色归位与生命转化。</x:v>
      </x:c>
      <x:c r="J143" s="27" t="str">
        <x:v>终局状态/功德评价</x:v>
      </x:c>
      <x:c r="K143" s="27" t="str">
        <x:v>如来封赠</x:v>
      </x:c>
      <x:c r="L143" s="27" t="str">
        <x:v>待校核原文</x:v>
      </x:c>
      <x:c r="M143" s="27" t="str">
        <x:v>https://zh.wikisource.org/wiki/西游记/第一百回</x:v>
      </x:c>
      <x:c r="N143" s="27" t="str">
        <x:v>可拆分为个人成长图谱。</x:v>
      </x:c>
    </x:row>
    <x:row r="144" ht="48" customHeight="1">
      <x:c r="A144" s="27" t="str">
        <x:v>Y144</x:v>
      </x:c>
      <x:c r="B144" s="27" t="str">
        <x:v>紫金钵盂</x:v>
      </x:c>
      <x:c r="C144" s="27" t="str">
        <x:v>第98回</x:v>
      </x:c>
      <x:c r="D144" s="27" t="str">
        <x:v>唐王所赐器物/换经资源</x:v>
      </x:c>
      <x:c r="E144" s="27" t="str">
        <x:v>大唐—灵山交接系统</x:v>
      </x:c>
      <x:c r="F144" s="27" t="str">
        <x:v>否</x:v>
      </x:c>
      <x:c r="G144" s="27" t="str">
        <x:v>唐太宗赠与唐僧</x:v>
      </x:c>
      <x:c r="H144" s="27" t="str">
        <x:v>作为取经团队交付人事，换得有字真经。</x:v>
      </x:c>
      <x:c r="I144" s="27" t="str">
        <x:v>资源、礼物与成果交付的复杂关系。</x:v>
      </x:c>
      <x:c r="J144" s="27" t="str">
        <x:v>器物资源/交付媒介</x:v>
      </x:c>
      <x:c r="K144" s="27" t="str">
        <x:v>交付阿傩迦叶</x:v>
      </x:c>
      <x:c r="L144" s="27" t="str">
        <x:v>待校核原文</x:v>
      </x:c>
      <x:c r="M144" s="27" t="str">
        <x:v>https://zh.wikisource.org/wiki/西游记/第九十八回</x:v>
      </x:c>
      <x:c r="N144" s="27" t="str">
        <x:v>同时录入法宝表。</x:v>
      </x:c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8" hidden="0" customWidth="1"/>
    <x:col min="5" max="5" width="24" hidden="0" customWidth="1"/>
    <x:col min="6" max="6" width="12" hidden="0" customWidth="1"/>
    <x:col min="7" max="7" width="50" hidden="0" customWidth="1"/>
    <x:col min="8" max="8" width="28" hidden="0" customWidth="1"/>
    <x:col min="9" max="9" width="28" hidden="0" customWidth="1"/>
    <x:col min="10" max="10" width="2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15" hidden="0" customHeight="1">
      <x:c r="A1" s="19" t="str">
        <x:v>任务编号</x:v>
      </x:c>
      <x:c r="B1" s="19" t="str">
        <x:v>任务名称</x:v>
      </x:c>
      <x:c r="C1" s="19" t="str">
        <x:v>优先级</x:v>
      </x:c>
      <x:c r="D1" s="19" t="str">
        <x:v>建议范围</x:v>
      </x:c>
      <x:c r="E1" s="19" t="str">
        <x:v>产出物</x:v>
      </x:c>
      <x:c r="F1" s="19" t="str">
        <x:v>状态</x:v>
      </x:c>
      <x:c r="G1" s="19" t="str">
        <x:v>备注</x:v>
      </x:c>
      <x:c r="H1" s="19"/>
      <x:c r="I1" s="19"/>
      <x:c r="J1" s="19"/>
      <x:c r="K1" s="19"/>
      <x:c r="L1" s="19"/>
      <x:c r="M1" s="19"/>
      <x:c r="N1" s="19"/>
    </x:row>
    <x:row r="2" ht="39.599998474121094" hidden="0" customHeight="1">
      <x:c r="A2" s="27" t="str">
        <x:v>T01</x:v>
      </x:c>
      <x:c r="B2" s="27" t="str">
        <x:v>校核第1—90回原文摘录</x:v>
      </x:c>
      <x:c r="C2" s="27" t="str">
        <x:v>高</x:v>
      </x:c>
      <x:c r="D2" s="27" t="str">
        <x:v>第1—90回</x:v>
      </x:c>
      <x:c r="E2" s="27" t="str">
        <x:v>原文摘录表/证据列更新</x:v>
      </x:c>
      <x:c r="F2" s="27" t="str">
        <x:v>进行中</x:v>
      </x:c>
      <x:c r="G2" s="27" t="str">
        <x:v>重点新增凤仙郡求雨、玉华州授艺、兵器被盗、黄狮精、九灵元圣、太乙救苦天尊收束等关键引文。</x:v>
      </x:c>
      <x:c r="H2" s="27"/>
      <x:c r="I2" s="27"/>
      <x:c r="J2" s="27"/>
      <x:c r="K2" s="27"/>
      <x:c r="L2" s="27"/>
      <x:c r="M2" s="27"/>
      <x:c r="N2" s="27"/>
    </x:row>
    <x:row r="3" ht="26.399999618530273" hidden="0" customHeight="1">
      <x:c r="A3" s="27" t="str">
        <x:v>T02</x:v>
      </x:c>
      <x:c r="B3" s="27" t="str">
        <x:v>补全后台/非后台风险矩阵</x:v>
      </x:c>
      <x:c r="C3" s="27" t="str">
        <x:v>高</x:v>
      </x:c>
      <x:c r="D3" s="27" t="str">
        <x:v>第28—90回</x:v>
      </x:c>
      <x:c r="E3" s="27" t="str">
        <x:v>08_后台妖怪表/专题图谱</x:v>
      </x:c>
      <x:c r="F3" s="27" t="str">
        <x:v>进行中</x:v>
      </x:c>
      <x:c r="G3" s="27" t="str">
        <x:v>新增九灵元圣为高阶坐骑后台；对比普通妖怪黄狮精与上级后台系统。</x:v>
      </x:c>
      <x:c r="H3" s="27"/>
      <x:c r="I3" s="27"/>
      <x:c r="J3" s="27"/>
      <x:c r="K3" s="27"/>
      <x:c r="L3" s="27"/>
      <x:c r="M3" s="27"/>
      <x:c r="N3" s="27"/>
    </x:row>
    <x:row r="4" ht="26.399999618530273" hidden="0" customHeight="1">
      <x:c r="A4" s="27" t="str">
        <x:v>T03</x:v>
      </x:c>
      <x:c r="B4" s="27" t="str">
        <x:v>扩展第91—95回</x:v>
      </x:c>
      <x:c r="C4" s="27" t="str">
        <x:v>高</x:v>
      </x:c>
      <x:c r="D4" s="27" t="str">
        <x:v>金平府—天竺国前段</x:v>
      </x:c>
      <x:c r="E4" s="27" t="str">
        <x:v>V1.8数据底座</x:v>
      </x:c>
      <x:c r="F4" s="27" t="str">
        <x:v>未开始</x:v>
      </x:c>
      <x:c r="G4" s="27" t="str">
        <x:v>建议重点研究金平府犀牛精、灯油供奉、玉兔精、天竺国公主身份替换等。</x:v>
      </x:c>
      <x:c r="H4" s="27"/>
      <x:c r="I4" s="27"/>
      <x:c r="J4" s="27"/>
      <x:c r="K4" s="27"/>
      <x:c r="L4" s="27"/>
      <x:c r="M4" s="27"/>
      <x:c r="N4" s="27"/>
    </x:row>
    <x:row r="5" ht="39.599998474121094" hidden="0" customHeight="1">
      <x:c r="A5" s="27" t="str">
        <x:v>T04</x:v>
      </x:c>
      <x:c r="B5" s="27" t="str">
        <x:v>建立原文摘录表</x:v>
      </x:c>
      <x:c r="C5" s="27" t="str">
        <x:v>高</x:v>
      </x:c>
      <x:c r="D5" s="27" t="str">
        <x:v>第1—90回</x:v>
      </x:c>
      <x:c r="E5" s="27" t="str">
        <x:v>09_原文摘录表</x:v>
      </x:c>
      <x:c r="F5" s="27" t="str">
        <x:v>未开始</x:v>
      </x:c>
      <x:c r="G5" s="27" t="str">
        <x:v>每回至少选3条：关键叙事、人物语言、诗词/回目。</x:v>
      </x:c>
      <x:c r="H5" s="27"/>
      <x:c r="I5" s="27"/>
      <x:c r="J5" s="27"/>
      <x:c r="K5" s="27"/>
      <x:c r="L5" s="27"/>
      <x:c r="M5" s="27"/>
      <x:c r="N5" s="27"/>
    </x:row>
    <x:row r="6" ht="39.599998474121094" hidden="0" customHeight="1">
      <x:c r="A6" s="27" t="str">
        <x:v>T05</x:v>
      </x:c>
      <x:c r="B6" s="27" t="str">
        <x:v>生成阶段性专题报告</x:v>
      </x:c>
      <x:c r="C6" s="27" t="str">
        <x:v>中</x:v>
      </x:c>
      <x:c r="D6" s="27" t="str">
        <x:v>第78—90回</x:v>
      </x:c>
      <x:c r="E6" s="27" t="str">
        <x:v>阶段报告/公众号稿</x:v>
      </x:c>
      <x:c r="F6" s="27" t="str">
        <x:v>未开始</x:v>
      </x:c>
      <x:c r="G6" s="27" t="str">
        <x:v>主题：越近灵山，风险越制度化、身份化、后台化。</x:v>
      </x:c>
      <x:c r="H6" s="27"/>
      <x:c r="I6" s="27"/>
      <x:c r="J6" s="27"/>
      <x:c r="K6" s="27"/>
      <x:c r="L6" s="27"/>
      <x:c r="M6" s="27"/>
      <x:c r="N6" s="27"/>
    </x:row>
    <x:row r="7" ht="26.399999618530273" hidden="0" customHeight="1">
      <x:c r="A7" s="27" t="str">
        <x:v>T06</x:v>
      </x:c>
      <x:c r="B7" s="27" t="str">
        <x:v>升级HTML/PWA数据看板</x:v>
      </x:c>
      <x:c r="C7" s="27" t="str">
        <x:v>中</x:v>
      </x:c>
      <x:c r="D7" s="27" t="str">
        <x:v>第1—61回数据</x:v>
      </x:c>
      <x:c r="E7" s="27" t="str">
        <x:v>PWA V2.0</x:v>
      </x:c>
      <x:c r="F7" s="27" t="str">
        <x:v>待办</x:v>
      </x:c>
      <x:c r="G7" s="27" t="str">
        <x:v>将牛魔王家族链、法宝表、后台妖怪表接入页面搜索与筛选。</x:v>
      </x:c>
      <x:c r="H7" s="27"/>
      <x:c r="I7" s="27"/>
      <x:c r="J7" s="27"/>
      <x:c r="K7" s="27"/>
      <x:c r="L7" s="27"/>
      <x:c r="M7" s="27"/>
      <x:c r="N7" s="27"/>
    </x:row>
    <x:row r="8" ht="39.599998474121094" hidden="0" customHeight="1">
      <x:c r="A8" s="27" t="str">
        <x:v>T05</x:v>
      </x:c>
      <x:c r="B8" s="27" t="str">
        <x:v>扩展第47—52回通天河与金兜洞段</x:v>
      </x:c>
      <x:c r="C8" s="27" t="str">
        <x:v>高</x:v>
      </x:c>
      <x:c r="D8" s="27" t="str">
        <x:v>第47—52回</x:v>
      </x:c>
      <x:c r="E8" s="27" t="str">
        <x:v>V0.8数据底座</x:v>
      </x:c>
      <x:c r="F8" s="27" t="str">
        <x:v>待启动</x:v>
      </x:c>
      <x:c r="G8" s="27" t="str">
        <x:v>重点研究灵感大王、通天河童男童女祭祀、独角兕大王、金刚琢、老君资源再外溢。</x:v>
      </x:c>
      <x:c r="H8" s="27"/>
      <x:c r="I8" s="27"/>
      <x:c r="J8" s="27"/>
      <x:c r="K8" s="27"/>
      <x:c r="L8" s="27"/>
      <x:c r="M8" s="27"/>
      <x:c r="N8" s="27"/>
    </x:row>
    <x:row r="9" ht="39.599998474121094" hidden="0" customHeight="1">
      <x:c r="A9" s="27" t="str">
        <x:v>T06</x:v>
      </x:c>
      <x:c r="B9" s="27" t="str">
        <x:v>校核第40—46回原文摘录</x:v>
      </x:c>
      <x:c r="C9" s="27" t="str">
        <x:v>高</x:v>
      </x:c>
      <x:c r="D9" s="27" t="str">
        <x:v>第40—46回</x:v>
      </x:c>
      <x:c r="E9" s="27" t="str">
        <x:v>原文摘录表/证据列更新</x:v>
      </x:c>
      <x:c r="F9" s="27" t="str">
        <x:v>待启动</x:v>
      </x:c>
      <x:c r="G9" s="27" t="str">
        <x:v>重点校核红孩儿化婴、三昧真火、假观音、黑水河鼍龙、车迟国斗法。</x:v>
      </x:c>
      <x:c r="H9" s="27"/>
      <x:c r="I9" s="27"/>
      <x:c r="J9" s="27"/>
      <x:c r="K9" s="27"/>
      <x:c r="L9" s="27"/>
      <x:c r="M9" s="27"/>
      <x:c r="N9" s="27"/>
    </x:row>
    <x:row r="10" ht="39.599998474121094" hidden="0" customHeight="1">
      <x:c r="A10" s="27" t="str">
        <x:v>T06</x:v>
      </x:c>
      <x:c r="B10" s="27" t="str">
        <x:v>校核第53—58回原文摘录</x:v>
      </x:c>
      <x:c r="C10" s="27" t="str">
        <x:v>高</x:v>
      </x:c>
      <x:c r="D10" s="27" t="str">
        <x:v>女儿国—真假美猴王</x:v>
      </x:c>
      <x:c r="E10" s="27" t="str">
        <x:v>原文摘录表/证据列更新</x:v>
      </x:c>
      <x:c r="F10" s="27" t="str">
        <x:v>待办</x:v>
      </x:c>
      <x:c r="G10" s="27" t="str">
        <x:v>重点校核子母河、落胎泉、女王招赘、蝎子精毒钩、真假美猴王、谛听、如来识破六耳。</x:v>
      </x:c>
      <x:c r="H10" s="27"/>
      <x:c r="I10" s="27"/>
      <x:c r="J10" s="27"/>
      <x:c r="K10" s="27"/>
      <x:c r="L10" s="27"/>
      <x:c r="M10" s="27"/>
      <x:c r="N10" s="27"/>
    </x:row>
    <x:row r="11" ht="39.599998474121094" hidden="0" customHeight="1">
      <x:c r="A11" s="27" t="str">
        <x:v>T07</x:v>
      </x:c>
      <x:c r="B11" s="27" t="str">
        <x:v>下一批扩展第59—61回</x:v>
      </x:c>
      <x:c r="C11" s="27" t="str">
        <x:v>高</x:v>
      </x:c>
      <x:c r="D11" s="27" t="str">
        <x:v>火焰山三调芭蕉扇</x:v>
      </x:c>
      <x:c r="E11" s="27" t="str">
        <x:v>V1.0数据底座</x:v>
      </x:c>
      <x:c r="F11" s="27" t="str">
        <x:v>待办</x:v>
      </x:c>
      <x:c r="G11" s="27" t="str">
        <x:v>主题：牛魔王家族、铁扇公主、芭蕉扇、火焰山、三调与协同破局。</x:v>
      </x:c>
      <x:c r="H11" s="27"/>
      <x:c r="I11" s="27"/>
      <x:c r="J11" s="27"/>
      <x:c r="K11" s="27"/>
      <x:c r="L11" s="27"/>
      <x:c r="M11" s="27"/>
      <x:c r="N11" s="27"/>
    </x:row>
    <x:row r="12" ht="26.399999618530273" hidden="0" customHeight="1">
      <x:c r="A12" s="27" t="str">
        <x:v>T08</x:v>
      </x:c>
      <x:c r="B12" s="27" t="str">
        <x:v>制作真假美猴王专题初稿</x:v>
      </x:c>
      <x:c r="C12" s="27" t="str">
        <x:v>中</x:v>
      </x:c>
      <x:c r="D12" s="27" t="str">
        <x:v>第56—58回</x:v>
      </x:c>
      <x:c r="E12" s="27" t="str">
        <x:v>专题稿1篇</x:v>
      </x:c>
      <x:c r="F12" s="27" t="str">
        <x:v>待办</x:v>
      </x:c>
      <x:c r="G12" s="27" t="str">
        <x:v>建议标题：《真假美猴王：人为什么会和自己打起来》。</x:v>
      </x:c>
      <x:c r="H12" s="27"/>
      <x:c r="I12" s="27"/>
      <x:c r="J12" s="27"/>
      <x:c r="K12" s="27"/>
      <x:c r="L12" s="27"/>
      <x:c r="M12" s="27"/>
      <x:c r="N12" s="27"/>
    </x:row>
    <x:row r="13" ht="26.399999618530273" hidden="0" customHeight="1">
      <x:c r="A13" s="27" t="str">
        <x:v>T09</x:v>
      </x:c>
      <x:c r="B13" s="27" t="str">
        <x:v>为HTML/PWA准备V0.9数据包</x:v>
      </x:c>
      <x:c r="C13" s="27" t="str">
        <x:v>中</x:v>
      </x:c>
      <x:c r="D13" s="27" t="str">
        <x:v>第1—58回</x:v>
      </x:c>
      <x:c r="E13" s="27" t="str">
        <x:v>JSON/CSV导出版</x:v>
      </x:c>
      <x:c r="F13" s="27" t="str">
        <x:v>待办</x:v>
      </x:c>
      <x:c r="G13" s="27" t="str">
        <x:v>后续可把百回主题表、专题观点表、后台妖怪表嵌入页面检索。</x:v>
      </x:c>
      <x:c r="H13" s="27"/>
      <x:c r="I13" s="27"/>
      <x:c r="J13" s="27"/>
      <x:c r="K13" s="27"/>
      <x:c r="L13" s="27"/>
      <x:c r="M13" s="27"/>
      <x:c r="N13" s="27"/>
    </x:row>
    <x:row r="14" ht="39.599998474121094" hidden="0" customHeight="1">
      <x:c r="A14" s="27" t="str">
        <x:v>V1.1已完成</x:v>
      </x:c>
      <x:c r="B14" s="27" t="str">
        <x:v>第62—67回</x:v>
      </x:c>
      <x:c r="C14" s="27" t="str">
        <x:v>祭赛国—小雷音寺—驼罗庄段入库</x:v>
      </x:c>
      <x:c r="D14" s="27" t="str">
        <x:v>已完成</x:v>
      </x:c>
      <x:c r="E14" s="27" t="str">
        <x:v>已扩展至第67回，新增失宝冤案、木仙庵、小雷音、驼罗庄专题。</x:v>
      </x:c>
      <x:c r="F14" s="27" t="str">
        <x:v>2026-06-12</x:v>
      </x:c>
      <x:c r="G14" s="27" t="str">
        <x:v>可作为阶段报告素材。</x:v>
      </x:c>
      <x:c r="H14" s="27"/>
      <x:c r="I14" s="27"/>
      <x:c r="J14" s="27"/>
      <x:c r="K14" s="27"/>
      <x:c r="L14" s="27"/>
      <x:c r="M14" s="27"/>
      <x:c r="N14" s="27"/>
    </x:row>
    <x:row r="15" ht="39.599998474121094" hidden="0" customHeight="1">
      <x:c r="A15" s="27" t="str">
        <x:v>下一批</x:v>
      </x:c>
      <x:c r="B15" s="27" t="str">
        <x:v>第68—71回</x:v>
      </x:c>
      <x:c r="C15" s="27" t="str">
        <x:v>朱紫国与金毛犼段</x:v>
      </x:c>
      <x:c r="D15" s="27" t="str">
        <x:v>待开展</x:v>
      </x:c>
      <x:c r="E15" s="27" t="str">
        <x:v>重点研究国王病症、赛太岁/金毛犼、紫金铃、观音坐骑系统、医治与救国。</x:v>
      </x:c>
      <x:c r="F15" s="27" t="str">
        <x:v>下一步</x:v>
      </x:c>
      <x:c r="G15" s="27" t="str">
        <x:v>建议升级V1.2。</x:v>
      </x:c>
      <x:c r="H15" s="27"/>
      <x:c r="I15" s="27"/>
      <x:c r="J15" s="27"/>
      <x:c r="K15" s="27"/>
      <x:c r="L15" s="27"/>
      <x:c r="M15" s="27"/>
      <x:c r="N15" s="27"/>
    </x:row>
    <x:row r="16" ht="26.399999618530273" hidden="0" customHeight="1">
      <x:c r="A16" s="27" t="str">
        <x:v>后续批次</x:v>
      </x:c>
      <x:c r="B16" s="27" t="str">
        <x:v>第72—73回</x:v>
      </x:c>
      <x:c r="C16" s="27" t="str">
        <x:v>盘丝洞与蜈蚣精段</x:v>
      </x:c>
      <x:c r="D16" s="27" t="str">
        <x:v>待开展</x:v>
      </x:c>
      <x:c r="E16" s="27" t="str">
        <x:v>重点研究七情迷本、八戒忘形、濯垢泉、蜈蚣精与毗蓝婆。</x:v>
      </x:c>
      <x:c r="F16" s="27" t="str">
        <x:v>后续</x:v>
      </x:c>
      <x:c r="G16" s="27" t="str">
        <x:v>适合欲望与身体专题。</x:v>
      </x:c>
      <x:c r="H16" s="27"/>
      <x:c r="I16" s="27"/>
      <x:c r="J16" s="27"/>
      <x:c r="K16" s="27"/>
      <x:c r="L16" s="27"/>
      <x:c r="M16" s="27"/>
      <x:c r="N16" s="27"/>
    </x:row>
    <x:row r="17" ht="39.599998474121094" hidden="0" customHeight="1">
      <x:c r="A17" s="27" t="str">
        <x:v>V1.2已完成</x:v>
      </x:c>
      <x:c r="B17" s="27" t="str">
        <x:v>第68—71回</x:v>
      </x:c>
      <x:c r="C17" s="27" t="str">
        <x:v>朱紫国—金毛犼段入库</x:v>
      </x:c>
      <x:c r="D17" s="27" t="str">
        <x:v>已完成</x:v>
      </x:c>
      <x:c r="E17" s="27" t="str">
        <x:v>已扩展至第71回，新增医治与救国、赛太岁、紫金铃、观音坐骑系统。</x:v>
      </x:c>
      <x:c r="F17" s="27" t="str">
        <x:v>2026-06-12</x:v>
      </x:c>
      <x:c r="G17" s="27" t="str">
        <x:v>可作为医治、后台坐骑、法宝资源专题素材。</x:v>
      </x:c>
      <x:c r="H17" s="27"/>
      <x:c r="I17" s="27"/>
      <x:c r="J17" s="27"/>
      <x:c r="K17" s="27"/>
      <x:c r="L17" s="27"/>
      <x:c r="M17" s="27"/>
      <x:c r="N17" s="27"/>
    </x:row>
    <x:row r="18" ht="26.399999618530273" hidden="0" customHeight="1">
      <x:c r="A18" s="27" t="str">
        <x:v>下一批</x:v>
      </x:c>
      <x:c r="B18" s="27" t="str">
        <x:v>第72—73回</x:v>
      </x:c>
      <x:c r="C18" s="27" t="str">
        <x:v>盘丝洞与蜈蚣精段</x:v>
      </x:c>
      <x:c r="D18" s="27" t="str">
        <x:v>待开展</x:v>
      </x:c>
      <x:c r="E18" s="27" t="str">
        <x:v>重点研究七情迷本、八戒忘形、濯垢泉、蜈蚣精与毗蓝婆。</x:v>
      </x:c>
      <x:c r="F18" s="27" t="str">
        <x:v>下一步</x:v>
      </x:c>
      <x:c r="G18" s="27" t="str">
        <x:v>建议升级V1.3。</x:v>
      </x:c>
      <x:c r="H18" s="27"/>
      <x:c r="I18" s="27"/>
      <x:c r="J18" s="27"/>
      <x:c r="K18" s="27"/>
      <x:c r="L18" s="27"/>
      <x:c r="M18" s="27"/>
      <x:c r="N18" s="27"/>
    </x:row>
    <x:row r="19" ht="39.599998474121094" hidden="0" customHeight="1">
      <x:c r="A19" s="27" t="str">
        <x:v>后续批次</x:v>
      </x:c>
      <x:c r="B19" s="27" t="str">
        <x:v>第74—77回</x:v>
      </x:c>
      <x:c r="C19" s="27" t="str">
        <x:v>狮驼岭三魔段</x:v>
      </x:c>
      <x:c r="D19" s="27" t="str">
        <x:v>待开展</x:v>
      </x:c>
      <x:c r="E19" s="27" t="str">
        <x:v>重点研究狮驼国、三魔联盟、吞噬型恐怖、佛门关系与群魔系统。</x:v>
      </x:c>
      <x:c r="F19" s="27" t="str">
        <x:v>后续</x:v>
      </x:c>
      <x:c r="G19" s="27" t="str">
        <x:v>适合全书大型妖怪集团专题。</x:v>
      </x:c>
      <x:c r="H19" s="27"/>
      <x:c r="I19" s="27"/>
      <x:c r="J19" s="27"/>
      <x:c r="K19" s="27"/>
      <x:c r="L19" s="27"/>
      <x:c r="M19" s="27"/>
      <x:c r="N19" s="27"/>
    </x:row>
    <x:row r="20">
      <x:c r="A20" s="27" t="str">
        <x:v>V1.5建议</x:v>
      </x:c>
      <x:c r="B20" s="27" t="str">
        <x:v>第78—83回</x:v>
      </x:c>
      <x:c r="C20" s="27" t="str">
        <x:v>比丘国—无底洞段</x:v>
      </x:c>
      <x:c r="D20" s="27" t="str">
        <x:v>白鹿精、狐狸精、儿童风险、老寿星后台、老鼠精/地涌夫人、托塔天王父女关系</x:v>
      </x:c>
      <x:c r="E20" s="27" t="str">
        <x:v>适合研究儿童保护、王权被妖惑、后台亲属与身份迷局</x:v>
      </x:c>
      <x:c r="F20" s="27" t="str">
        <x:v>下一批</x:v>
      </x:c>
      <x:c r="G20" s="27" t="str">
        <x:v>https://zh.wikisource.org/wiki/西游记</x:v>
      </x:c>
      <x:c r="H20" s="27"/>
      <x:c r="I20" s="27"/>
      <x:c r="J20" s="27"/>
      <x:c r="K20" s="27"/>
      <x:c r="L20" s="27"/>
      <x:c r="M20" s="27"/>
      <x:c r="N20" s="27"/>
    </x:row>
    <x:row r="21">
      <x:c r="A21" s="27" t="str">
        <x:v>专题深化</x:v>
      </x:c>
      <x:c r="B21" s="27" t="str">
        <x:v>狮驼岭专题</x:v>
      </x:c>
      <x:c r="C21" s="27" t="str">
        <x:v>三魔集团、后台边界、极端风险治理</x:v>
      </x:c>
      <x:c r="D21" s="27" t="str">
        <x:v>建议单独形成公众号长文或研究报告章节</x:v>
      </x:c>
      <x:c r="E21" s="27" t="str">
        <x:v>可配三魔后台责任链图、极端风险处置流程图</x:v>
      </x:c>
      <x:c r="F21" s="27" t="str">
        <x:v>待写作</x:v>
      </x:c>
      <x:c r="G21" s="27" t="str">
        <x:v>https://zh.wikisource.org/wiki/西游记/第七十七回</x:v>
      </x:c>
      <x:c r="H21" s="27"/>
      <x:c r="I21" s="27"/>
      <x:c r="J21" s="27"/>
      <x:c r="K21" s="27"/>
      <x:c r="L21" s="27"/>
      <x:c r="M21" s="27"/>
      <x:c r="N21" s="27"/>
    </x:row>
    <x:row r="22">
      <x:c r="A22" s="27" t="str">
        <x:v>数据治理</x:v>
      </x:c>
      <x:c r="B22" s="27" t="str">
        <x:v>全表校核</x:v>
      </x:c>
      <x:c r="C22" s="27" t="str">
        <x:v>编号重复、正式八十一难序号、通行版本对照</x:v>
      </x:c>
      <x:c r="D22" s="27" t="str">
        <x:v>后续需与人民文学/中华书局等校注本核对</x:v>
      </x:c>
      <x:c r="E22" s="27" t="str">
        <x:v>避免把结构风险节点误作正式八十一难</x:v>
      </x:c>
      <x:c r="F22" s="27" t="str">
        <x:v>持续</x:v>
      </x:c>
      <x:c r="G22" s="27" t="str"/>
      <x:c r="H22" s="27"/>
      <x:c r="I22" s="27"/>
      <x:c r="J22" s="27"/>
      <x:c r="K22" s="27"/>
      <x:c r="L22" s="27"/>
      <x:c r="M22" s="27"/>
      <x:c r="N22" s="27"/>
    </x:row>
    <x:row r="23">
      <x:c r="A23" s="27" t="str">
        <x:v>V1.8完成项</x:v>
      </x:c>
      <x:c r="B23" s="27" t="str">
        <x:v>第91—95回</x:v>
      </x:c>
      <x:c r="C23" s="27" t="str">
        <x:v>金平府—天竺国段</x:v>
      </x:c>
      <x:c r="D23" s="27" t="str">
        <x:v>已完成</x:v>
      </x:c>
      <x:c r="E23" s="27" t="str">
        <x:v>已补充三犀牛怪、灯油供奉、玉兔精、假公主、太阴星君等。</x:v>
      </x:c>
      <x:c r="F23" s="27" t="str">
        <x:v>已完成</x:v>
      </x:c>
      <x:c r="G23" s="27" t="str">
        <x:v>进入第96—100回收官准备。</x:v>
      </x:c>
      <x:c r="H23" s="27"/>
      <x:c r="I23" s="27"/>
      <x:c r="J23" s="27"/>
      <x:c r="K23" s="27"/>
      <x:c r="L23" s="27"/>
      <x:c r="M23" s="27"/>
      <x:c r="N23" s="27"/>
    </x:row>
    <x:row r="24">
      <x:c r="A24" s="27" t="str">
        <x:v>下一批</x:v>
      </x:c>
      <x:c r="B24" s="27" t="str">
        <x:v>第96—100回</x:v>
      </x:c>
      <x:c r="C24" s="27" t="str">
        <x:v>寇员外—灵山成真</x:v>
      </x:c>
      <x:c r="D24" s="27" t="str">
        <x:v>待开展</x:v>
      </x:c>
      <x:c r="E24" s="27" t="str">
        <x:v>重点研究寇员外布施、无字经、经卷交易、九九归真、五圣成真。</x:v>
      </x:c>
      <x:c r="F24" s="27" t="str">
        <x:v>下一步</x:v>
      </x:c>
      <x:c r="G24" s="27" t="str">
        <x:v>建议升级V1.9或V2.0收官版。</x:v>
      </x:c>
      <x:c r="H24" s="27"/>
      <x:c r="I24" s="27"/>
      <x:c r="J24" s="27"/>
      <x:c r="K24" s="27"/>
      <x:c r="L24" s="27"/>
      <x:c r="M24" s="27"/>
      <x:c r="N24" s="27"/>
    </x:row>
    <x:row r="25">
      <x:c r="A25" s="27" t="str">
        <x:v>收官专题</x:v>
      </x:c>
      <x:c r="B25" s="27" t="str">
        <x:v>八十一难正式校核</x:v>
      </x:c>
      <x:c r="C25" s="27" t="str">
        <x:v>第13—99回</x:v>
      </x:c>
      <x:c r="D25" s="27" t="str">
        <x:v>正式难次对照表</x:v>
      </x:c>
      <x:c r="E25" s="27" t="str">
        <x:v>待开展</x:v>
      </x:c>
      <x:c r="F25" s="27" t="str">
        <x:v>将结构风险节点与通行八十一难清单分开，避免误列。</x:v>
      </x:c>
      <x:c r="G25" s="27" t="str">
        <x:v>高优先级</x:v>
      </x:c>
      <x:c r="H25" s="27"/>
      <x:c r="I25" s="27"/>
      <x:c r="J25" s="27"/>
      <x:c r="K25" s="27"/>
      <x:c r="L25" s="27"/>
      <x:c r="M25" s="27"/>
      <x:c r="N25" s="27"/>
    </x:row>
    <x:row r="26">
      <x:c r="A26" s="27" t="str">
        <x:v>成果转化</x:v>
      </x:c>
      <x:c r="B26" s="27" t="str">
        <x:v>公众号十题/研究报告目录</x:v>
      </x:c>
      <x:c r="C26" s="27" t="str">
        <x:v>全书</x:v>
      </x:c>
      <x:c r="D26" s="27" t="str">
        <x:v>专题文章目录+图谱目录</x:v>
      </x:c>
      <x:c r="E26" s="27" t="str">
        <x:v>待开展</x:v>
      </x:c>
      <x:c r="F26" s="27" t="str">
        <x:v>从数据底座提炼《再读西游十题》和后台妖怪专题。</x:v>
      </x:c>
      <x:c r="G26" s="27" t="str">
        <x:v>中高优先级</x:v>
      </x:c>
      <x:c r="H26" s="27"/>
      <x:c r="I26" s="27"/>
      <x:c r="J26" s="27"/>
      <x:c r="K26" s="27"/>
      <x:c r="L26" s="27"/>
      <x:c r="M26" s="27"/>
      <x:c r="N26" s="27"/>
    </x:row>
    <x:row r="27">
      <x:c r="A27" s="27" t="str">
        <x:v>可视化</x:v>
      </x:c>
      <x:c r="B27" s="27" t="str">
        <x:v>后台妖怪责任链图</x:v>
      </x:c>
      <x:c r="C27" s="27" t="str">
        <x:v>第28—95回</x:v>
      </x:c>
      <x:c r="D27" s="27" t="str">
        <x:v>关系图/桑基图/矩阵图</x:v>
      </x:c>
      <x:c r="E27" s="27" t="str">
        <x:v>待开展</x:v>
      </x:c>
      <x:c r="F27" s="27" t="str">
        <x:v>重点用08_后台妖怪表与05_人物关系表生成。</x:v>
      </x:c>
      <x:c r="G27" s="27" t="str">
        <x:v>中优先级</x:v>
      </x:c>
      <x:c r="H27" s="27"/>
      <x:c r="I27" s="27"/>
      <x:c r="J27" s="27"/>
      <x:c r="K27" s="27"/>
      <x:c r="L27" s="27"/>
      <x:c r="M27" s="27"/>
      <x:c r="N27" s="27"/>
    </x:row>
    <x:row r="28">
      <x:c r="A28" s="27" t="str">
        <x:v>PWA升级</x:v>
      </x:c>
      <x:c r="B28" s="27" t="str">
        <x:v>百回检索+妖怪卡片</x:v>
      </x:c>
      <x:c r="C28" s="27" t="str">
        <x:v>第1—95回</x:v>
      </x:c>
      <x:c r="D28" s="27" t="str">
        <x:v>HTML/PWA V2</x:v>
      </x:c>
      <x:c r="E28" s="27" t="str">
        <x:v>待开展</x:v>
      </x:c>
      <x:c r="F28" s="27" t="str">
        <x:v>把Excel数据回灌到《再读西游》页面，形成可检索研究工作台。</x:v>
      </x:c>
      <x:c r="G28" s="27" t="str">
        <x:v>中优先级</x:v>
      </x:c>
      <x:c r="H28" s="27"/>
      <x:c r="I28" s="27"/>
      <x:c r="J28" s="27"/>
      <x:c r="K28" s="27"/>
      <x:c r="L28" s="27"/>
      <x:c r="M28" s="27"/>
      <x:c r="N28" s="27"/>
    </x:row>
    <x:row r="29" ht="48" customHeight="1">
      <x:c r="A29" s="27" t="str">
        <x:v>V2.0完成项</x:v>
      </x:c>
      <x:c r="B29" s="27" t="str">
        <x:v>第96—100回</x:v>
      </x:c>
      <x:c r="C29" s="27" t="str">
        <x:v>高</x:v>
      </x:c>
      <x:c r="D29" s="27" t="str">
        <x:v>寇员外—灵山—东土成真</x:v>
      </x:c>
      <x:c r="E29" s="27" t="str">
        <x:v>已补齐全书百回数据底座</x:v>
      </x:c>
      <x:c r="F29" s="27" t="str">
        <x:v>已完成</x:v>
      </x:c>
      <x:c r="G29" s="27" t="str">
        <x:v>完成寇员外、无字经、老鼋补难、五圣成真等收官数据。</x:v>
      </x:c>
      <x:c r="H29" s="27"/>
      <x:c r="I29" s="27"/>
      <x:c r="J29" s="27"/>
      <x:c r="K29" s="27"/>
      <x:c r="L29" s="27"/>
      <x:c r="M29" s="27"/>
      <x:c r="N29" s="27"/>
    </x:row>
    <x:row r="30" ht="48" customHeight="1">
      <x:c r="A30" s="27" t="str">
        <x:v>V2.1建议</x:v>
      </x:c>
      <x:c r="B30" s="27" t="str">
        <x:v>正式八十一难校核</x:v>
      </x:c>
      <x:c r="C30" s="27" t="str">
        <x:v>高</x:v>
      </x:c>
      <x:c r="D30" s="27" t="str">
        <x:v>全书第1—100回</x:v>
      </x:c>
      <x:c r="E30" s="27" t="str">
        <x:v>02_八十一难表精校版</x:v>
      </x:c>
      <x:c r="F30" s="27" t="str">
        <x:v>下一步</x:v>
      </x:c>
      <x:c r="G30" s="27" t="str">
        <x:v>用通行校注本与多种八十一难清单对照，把正式难、结构风险、前传节点分层。</x:v>
      </x:c>
      <x:c r="H30" s="27"/>
      <x:c r="I30" s="27"/>
      <x:c r="J30" s="27"/>
      <x:c r="K30" s="27"/>
      <x:c r="L30" s="27"/>
      <x:c r="M30" s="27"/>
      <x:c r="N30" s="27"/>
    </x:row>
    <x:row r="31" ht="48" customHeight="1">
      <x:c r="A31" s="27" t="str">
        <x:v>V2.1建议</x:v>
      </x:c>
      <x:c r="B31" s="27" t="str">
        <x:v>建立09_原文摘录表</x:v>
      </x:c>
      <x:c r="C31" s="27" t="str">
        <x:v>高</x:v>
      </x:c>
      <x:c r="D31" s="27" t="str">
        <x:v>全书关键场景</x:v>
      </x:c>
      <x:c r="E31" s="27" t="str">
        <x:v>原文摘录表/证据库</x:v>
      </x:c>
      <x:c r="F31" s="27" t="str">
        <x:v>下一步</x:v>
      </x:c>
      <x:c r="G31" s="27" t="str">
        <x:v>每个专题至少配置3—5条短引文，保证可考据。</x:v>
      </x:c>
      <x:c r="H31" s="27"/>
      <x:c r="I31" s="27"/>
      <x:c r="J31" s="27"/>
      <x:c r="K31" s="27"/>
      <x:c r="L31" s="27"/>
      <x:c r="M31" s="27"/>
      <x:c r="N31" s="27"/>
    </x:row>
    <x:row r="32" ht="48" customHeight="1">
      <x:c r="A32" s="27" t="str">
        <x:v>V2.2建议</x:v>
      </x:c>
      <x:c r="B32" s="27" t="str">
        <x:v>人物关系图谱生成</x:v>
      </x:c>
      <x:c r="C32" s="27" t="str">
        <x:v>中高</x:v>
      </x:c>
      <x:c r="D32" s="27" t="str">
        <x:v>05_人物关系表</x:v>
      </x:c>
      <x:c r="E32" s="27" t="str">
        <x:v>取经关系图谱/后台责任链图</x:v>
      </x:c>
      <x:c r="F32" s="27" t="str">
        <x:v>待开展</x:v>
      </x:c>
      <x:c r="G32" s="27" t="str">
        <x:v>按灵山、天庭、地府、龙宫、人间、妖怪六大系统出图。</x:v>
      </x:c>
      <x:c r="H32" s="27"/>
      <x:c r="I32" s="27"/>
      <x:c r="J32" s="27"/>
      <x:c r="K32" s="27"/>
      <x:c r="L32" s="27"/>
      <x:c r="M32" s="27"/>
      <x:c r="N32" s="27"/>
    </x:row>
    <x:row r="33" ht="48" customHeight="1">
      <x:c r="A33" s="27" t="str">
        <x:v>V2.2建议</x:v>
      </x:c>
      <x:c r="B33" s="27" t="str">
        <x:v>后台妖怪类型统计</x:v>
      </x:c>
      <x:c r="C33" s="27" t="str">
        <x:v>中高</x:v>
      </x:c>
      <x:c r="D33" s="27" t="str">
        <x:v>08_后台妖怪表</x:v>
      </x:c>
      <x:c r="E33" s="27" t="str">
        <x:v>后台妖怪矩阵/风险类型图</x:v>
      </x:c>
      <x:c r="F33" s="27" t="str">
        <x:v>待开展</x:v>
      </x:c>
      <x:c r="G33" s="27" t="str">
        <x:v>区分坐骑、童子、星宿、法宝、亲属、身份替换、非妖制度风险。</x:v>
      </x:c>
      <x:c r="H33" s="27"/>
      <x:c r="I33" s="27"/>
      <x:c r="J33" s="27"/>
      <x:c r="K33" s="27"/>
      <x:c r="L33" s="27"/>
      <x:c r="M33" s="27"/>
      <x:c r="N33" s="27"/>
    </x:row>
    <x:row r="34" ht="48" customHeight="1">
      <x:c r="A34" s="27" t="str">
        <x:v>V2.3建议</x:v>
      </x:c>
      <x:c r="B34" s="27" t="str">
        <x:v>专题文章目录</x:v>
      </x:c>
      <x:c r="C34" s="27" t="str">
        <x:v>中高</x:v>
      </x:c>
      <x:c r="D34" s="27" t="str">
        <x:v>06_专题观点表</x:v>
      </x:c>
      <x:c r="E34" s="27" t="str">
        <x:v>《再读西游十题/二十题》</x:v>
      </x:c>
      <x:c r="F34" s="27" t="str">
        <x:v>待写作</x:v>
      </x:c>
      <x:c r="G34" s="27" t="str">
        <x:v>优先写孙悟空、唐僧、八戒、后台妖怪、无字经、八十一难闭环。</x:v>
      </x:c>
      <x:c r="H34" s="27"/>
      <x:c r="I34" s="27"/>
      <x:c r="J34" s="27"/>
      <x:c r="K34" s="27"/>
      <x:c r="L34" s="27"/>
      <x:c r="M34" s="27"/>
      <x:c r="N34" s="27"/>
    </x:row>
    <x:row r="35" ht="48" customHeight="1">
      <x:c r="A35" s="27" t="str">
        <x:v>V2.3建议</x:v>
      </x:c>
      <x:c r="B35" s="27" t="str">
        <x:v>HTML/PWA升级</x:v>
      </x:c>
      <x:c r="C35" s="27" t="str">
        <x:v>中</x:v>
      </x:c>
      <x:c r="D35" s="27" t="str">
        <x:v>现有PWA页面</x:v>
      </x:c>
      <x:c r="E35" s="27" t="str">
        <x:v>全书检索版PWA</x:v>
      </x:c>
      <x:c r="F35" s="27" t="str">
        <x:v>待开发</x:v>
      </x:c>
      <x:c r="G35" s="27" t="str">
        <x:v>导入百回主题、妖怪、法宝、后台妖怪、专题观点等核心表。</x:v>
      </x:c>
      <x:c r="H35" s="27"/>
      <x:c r="I35" s="27"/>
      <x:c r="J35" s="27"/>
      <x:c r="K35" s="27"/>
      <x:c r="L35" s="27"/>
      <x:c r="M35" s="27"/>
      <x:c r="N35" s="27"/>
    </x:row>
    <x:row r="36" ht="48" customHeight="1">
      <x:c r="A36" s="27" t="str">
        <x:v>V2.4建议</x:v>
      </x:c>
      <x:c r="B36" s="27" t="str">
        <x:v>总报告写作</x:v>
      </x:c>
      <x:c r="C36" s="27" t="str">
        <x:v>中</x:v>
      </x:c>
      <x:c r="D36" s="27" t="str">
        <x:v>全书数据底座</x:v>
      </x:c>
      <x:c r="E36" s="27" t="str">
        <x:v>《再读西游》深度研究报告</x:v>
      </x:c>
      <x:c r="F36" s="27" t="str">
        <x:v>待写作</x:v>
      </x:c>
      <x:c r="G36" s="27" t="str">
        <x:v>形成文学、思想、组织、人生、AI方法五条主线总报告。</x:v>
      </x:c>
      <x:c r="H36" s="27"/>
      <x:c r="I36" s="27"/>
      <x:c r="J36" s="27"/>
      <x:c r="K36" s="27"/>
      <x:c r="L36" s="27"/>
      <x:c r="M36" s="27"/>
      <x:c r="N36" s="27"/>
    </x:row>
    <x:row r="37" ht="48" customHeight="1">
      <x:c r="A37" s="27" t="str">
        <x:v>V2.4建议</x:v>
      </x:c>
      <x:c r="B37" s="27" t="str">
        <x:v>公众号连载策划</x:v>
      </x:c>
      <x:c r="C37" s="27" t="str">
        <x:v>中</x:v>
      </x:c>
      <x:c r="D37" s="27" t="str">
        <x:v>专题观点表</x:v>
      </x:c>
      <x:c r="E37" s="27" t="str">
        <x:v>12—20篇连载标题与摘要</x:v>
      </x:c>
      <x:c r="F37" s="27" t="str">
        <x:v>待写作</x:v>
      </x:c>
      <x:c r="G37" s="27" t="str">
        <x:v>每篇聚焦一个问题，兼顾趣味、考据和人生/管理启示。</x:v>
      </x:c>
      <x:c r="H37" s="27"/>
      <x:c r="I37" s="27"/>
      <x:c r="J37" s="27"/>
      <x:c r="K37" s="27"/>
      <x:c r="L37" s="27"/>
      <x:c r="M37" s="27"/>
      <x:c r="N37" s="27"/>
    </x:row>
    <x:row r="38" ht="48" customHeight="1">
      <x:c r="A38" s="27" t="str">
        <x:v>持续任务</x:v>
      </x:c>
      <x:c r="B38" s="27" t="str">
        <x:v>来源与版权边界校核</x:v>
      </x:c>
      <x:c r="C38" s="27" t="str">
        <x:v>高</x:v>
      </x:c>
      <x:c r="D38" s="27" t="str">
        <x:v>全书</x:v>
      </x:c>
      <x:c r="E38" s="27" t="str">
        <x:v>引用规范/来源说明</x:v>
      </x:c>
      <x:c r="F38" s="27" t="str">
        <x:v>持续</x:v>
      </x:c>
      <x:c r="G38" s="27" t="str">
        <x:v>维基文库适合检索，正式发布建议对照纸质校注本。</x:v>
      </x:c>
      <x:c r="H38" s="27"/>
      <x:c r="I38" s="27"/>
      <x:c r="J38" s="27"/>
      <x:c r="K38" s="27"/>
      <x:c r="L38" s="27"/>
      <x:c r="M38" s="27"/>
      <x:c r="N38" s="27"/>
    </x:row>
    <x:row r="39" ht="48" customHeight="1">
      <x:c r="A39" s="27" t="str">
        <x:v>持续任务</x:v>
      </x:c>
      <x:c r="B39" s="27" t="str">
        <x:v>编号与数据治理</x:v>
      </x:c>
      <x:c r="C39" s="27" t="str">
        <x:v>中</x:v>
      </x:c>
      <x:c r="D39" s="27" t="str">
        <x:v>所有表</x:v>
      </x:c>
      <x:c r="E39" s="27" t="str">
        <x:v>编号一致性、字段规范</x:v>
      </x:c>
      <x:c r="F39" s="27" t="str">
        <x:v>持续</x:v>
      </x:c>
      <x:c r="G39" s="27" t="str">
        <x:v>后续增加数据透视、筛选、图谱导入时需保持编号稳定。</x:v>
      </x:c>
      <x:c r="H39" s="27"/>
      <x:c r="I39" s="27"/>
      <x:c r="J39" s="27"/>
      <x:c r="K39" s="27"/>
      <x:c r="L39" s="27"/>
      <x:c r="M39" s="27"/>
      <x:c r="N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A42" s="122" t="str">
        <x:v>V2.1完成后建议任务</x:v>
      </x:c>
      <x:c r="B42" s="122" t="str">
        <x:v>任务内容</x:v>
      </x:c>
      <x:c r="C42" s="122" t="str">
        <x:v>优先级</x:v>
      </x:c>
      <x:c r="D42" s="122" t="str">
        <x:v>产出</x:v>
      </x:c>
      <x:c r="E42" s="122" t="str">
        <x:v>依据</x:v>
      </x:c>
      <x:c r="F42" s="122" t="str">
        <x:v>负责人</x:v>
      </x:c>
      <x:c r="G42" s="122" t="str">
        <x:v>备注</x:v>
      </x:c>
      <x:c r="H42" s="27"/>
      <x:c r="I42" s="27"/>
      <x:c r="J42" s="27"/>
      <x:c r="K42" s="27"/>
      <x:c r="L42" s="27"/>
      <x:c r="M42" s="27"/>
      <x:c r="N42" s="27"/>
    </x:row>
    <x:row r="43">
      <x:c r="A43" s="27" t="str">
        <x:v>V2.2</x:v>
      </x:c>
      <x:c r="B43" s="27" t="str">
        <x:v>补原文摘录：第27回三打白骨精/逐猴王</x:v>
      </x:c>
      <x:c r="C43" s="27" t="str">
        <x:v>高</x:v>
      </x:c>
      <x:c r="D43" s="27" t="str">
        <x:v>原文摘录表扩展</x:v>
      </x:c>
      <x:c r="E43" s="27" t="str">
        <x:v>团队信任危机专题</x:v>
      </x:c>
      <x:c r="F43" s="27" t="str">
        <x:v>AI+人工校读</x:v>
      </x:c>
      <x:c r="G43" s="27" t="str">
        <x:v>优先补可引用原文</x:v>
      </x:c>
      <x:c r="H43" s="27"/>
      <x:c r="I43" s="27"/>
      <x:c r="J43" s="27"/>
      <x:c r="K43" s="27"/>
      <x:c r="L43" s="27"/>
      <x:c r="M43" s="27"/>
      <x:c r="N43" s="27"/>
    </x:row>
    <x:row r="44">
      <x:c r="A44" s="27" t="str">
        <x:v>V2.2</x:v>
      </x:c>
      <x:c r="B44" s="27" t="str">
        <x:v>补原文摘录：第57—58回真假美猴王</x:v>
      </x:c>
      <x:c r="C44" s="27" t="str">
        <x:v>高</x:v>
      </x:c>
      <x:c r="D44" s="27" t="str">
        <x:v>原文摘录表扩展</x:v>
      </x:c>
      <x:c r="E44" s="27" t="str">
        <x:v>二心/身份分裂专题</x:v>
      </x:c>
      <x:c r="F44" s="27" t="str">
        <x:v>AI+人工校读</x:v>
      </x:c>
      <x:c r="G44" s="27" t="str"/>
      <x:c r="H44" s="27"/>
      <x:c r="I44" s="27"/>
      <x:c r="J44" s="27"/>
      <x:c r="K44" s="27"/>
      <x:c r="L44" s="27"/>
      <x:c r="M44" s="27"/>
      <x:c r="N44" s="27"/>
    </x:row>
    <x:row r="45">
      <x:c r="A45" s="27" t="str">
        <x:v>V2.2</x:v>
      </x:c>
      <x:c r="B45" s="27" t="str">
        <x:v>补原文摘录：第65—66回小雷音寺</x:v>
      </x:c>
      <x:c r="C45" s="27" t="str">
        <x:v>中</x:v>
      </x:c>
      <x:c r="D45" s="27" t="str">
        <x:v>假权威专题证据</x:v>
      </x:c>
      <x:c r="E45" s="27" t="str">
        <x:v>假权威与法宝压制</x:v>
      </x:c>
      <x:c r="F45" s="27" t="str">
        <x:v>AI+人工校读</x:v>
      </x:c>
      <x:c r="G45" s="27" t="str"/>
      <x:c r="H45" s="27"/>
      <x:c r="I45" s="27"/>
      <x:c r="J45" s="27"/>
      <x:c r="K45" s="27"/>
      <x:c r="L45" s="27"/>
      <x:c r="M45" s="27"/>
      <x:c r="N45" s="27"/>
    </x:row>
    <x:row r="46">
      <x:c r="A46" s="27" t="str">
        <x:v>V2.2</x:v>
      </x:c>
      <x:c r="B46" s="27" t="str">
        <x:v>补原文摘录：第74—77回狮驼岭</x:v>
      </x:c>
      <x:c r="C46" s="27" t="str">
        <x:v>中</x:v>
      </x:c>
      <x:c r="D46" s="27" t="str">
        <x:v>极端风险治理专题证据</x:v>
      </x:c>
      <x:c r="E46" s="27" t="str">
        <x:v>组织化妖怪/后台边界</x:v>
      </x:c>
      <x:c r="F46" s="27" t="str">
        <x:v>AI+人工校读</x:v>
      </x:c>
      <x:c r="G46" s="27" t="str"/>
      <x:c r="H46" s="27"/>
      <x:c r="I46" s="27"/>
      <x:c r="J46" s="27"/>
      <x:c r="K46" s="27"/>
      <x:c r="L46" s="27"/>
      <x:c r="M46" s="27"/>
      <x:c r="N46" s="27"/>
    </x:row>
    <x:row r="47">
      <x:c r="A47" s="27" t="str">
        <x:v>T22</x:v>
      </x:c>
      <x:c r="B47" s="27" t="str">
        <x:v>V2.2专题原文摘录补强</x:v>
      </x:c>
      <x:c r="C47" s="27" t="str">
        <x:v>高</x:v>
      </x:c>
      <x:c r="D47" s="27" t="str">
        <x:v>第27、57—58、65—66、74—77回</x:v>
      </x:c>
      <x:c r="E47" s="27" t="str">
        <x:v>13_专题摘录补强/11_原文摘录表</x:v>
      </x:c>
      <x:c r="F47" s="27" t="str">
        <x:v>已完成</x:v>
      </x:c>
      <x:c r="G47" s="27" t="str">
        <x:v>已形成四组专题证据链：三打白骨精、真假美猴王、小雷音寺、狮驼岭。</x:v>
      </x:c>
      <x:c r="H47" s="27"/>
      <x:c r="I47" s="27"/>
      <x:c r="J47" s="27"/>
      <x:c r="K47" s="27"/>
      <x:c r="L47" s="27"/>
      <x:c r="M47" s="27"/>
      <x:c r="N47" s="27"/>
    </x:row>
    <x:row r="48">
      <x:c r="A48" s="27" t="str">
        <x:v>T23</x:v>
      </x:c>
      <x:c r="B48" s="27" t="str">
        <x:v>V2.3总图谱与主题热力图</x:v>
      </x:c>
      <x:c r="C48" s="27" t="str">
        <x:v>高</x:v>
      </x:c>
      <x:c r="D48" s="27" t="str">
        <x:v>全书1—100回</x:v>
      </x:c>
      <x:c r="E48" s="27" t="str">
        <x:v>人物关系图/后台妖怪矩阵/八十一难主题热力图</x:v>
      </x:c>
      <x:c r="F48" s="27" t="str">
        <x:v>建议下一步</x:v>
      </x:c>
      <x:c r="G48" s="27" t="str">
        <x:v>将表格资产转成图谱资产，可回写HTML/PWA。</x:v>
      </x:c>
      <x:c r="H48" s="27"/>
      <x:c r="I48" s="27"/>
      <x:c r="J48" s="27"/>
      <x:c r="K48" s="27"/>
      <x:c r="L48" s="27"/>
      <x:c r="M48" s="27"/>
      <x:c r="N48" s="27"/>
    </x:row>
    <x:row r="49">
      <x:c r="A49" s="27" t="str">
        <x:v>T24</x:v>
      </x:c>
      <x:c r="B49" s="27" t="str">
        <x:v>十篇专题文章目录与首篇样稿</x:v>
      </x:c>
      <x:c r="C49" s="27" t="str">
        <x:v>高</x:v>
      </x:c>
      <x:c r="D49" s="27" t="str">
        <x:v>全书重点专题</x:v>
      </x:c>
      <x:c r="E49" s="27" t="str">
        <x:v>专题目录/首篇文章</x:v>
      </x:c>
      <x:c r="F49" s="27" t="str">
        <x:v>建议下一步</x:v>
      </x:c>
      <x:c r="G49" s="27" t="str">
        <x:v>建议首篇写《三打白骨精：为什么专业判断输给了表象》。</x:v>
      </x:c>
      <x:c r="H49" s="27"/>
      <x:c r="I49" s="27"/>
      <x:c r="J49" s="27"/>
      <x:c r="K49" s="27"/>
      <x:c r="L49" s="27"/>
      <x:c r="M49" s="27"/>
      <x:c r="N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</x:row>
    <x:row r="51">
      <x:c r="A51" s="27" t="str">
        <x:v>V2.3已完成</x:v>
      </x:c>
      <x:c r="B51" s="27" t="str">
        <x:v>总图谱与主题热力图</x:v>
      </x:c>
      <x:c r="C51" s="27" t="str">
        <x:v>新增15—18号工作表：节点/边表、后台妖怪矩阵、主题热力图、可视化看板。</x:v>
      </x:c>
      <x:c r="D51" s="27" t="str">
        <x:v>已完成</x:v>
      </x:c>
      <x:c r="E51" s="27" t="str">
        <x:v>2026-06-14</x:v>
      </x:c>
      <x:c r="F51" s="27" t="str">
        <x:v>下一步转入V2.4 HTML/PWA图谱升级</x:v>
      </x:c>
      <x:c r="G51" s="27" t="str">
        <x:v>本表自动追加</x:v>
      </x:c>
      <x:c r="H51" s="27"/>
      <x:c r="I51" s="27"/>
      <x:c r="J51" s="27"/>
      <x:c r="K51" s="27"/>
      <x:c r="L51" s="27"/>
      <x:c r="M51" s="27"/>
      <x:c r="N51" s="27"/>
    </x:row>
    <x:row r="52">
      <x:c r="A52" s="27" t="str">
        <x:v>V2.4建议</x:v>
      </x:c>
      <x:c r="B52" s="27" t="str">
        <x:v>HTML/PWA图谱升级</x:v>
      </x:c>
      <x:c r="C52" s="27" t="str">
        <x:v>将节点表、边表、热力图转换为JSON，嵌入《再读西游》PWA。</x:v>
      </x:c>
      <x:c r="D52" s="27" t="str">
        <x:v>待启动</x:v>
      </x:c>
      <x:c r="E52" s="27" t="str">
        <x:v>2026-06-14</x:v>
      </x:c>
      <x:c r="F52" s="27" t="str">
        <x:v>优先接入人物关系图和后台妖怪矩阵</x:v>
      </x:c>
      <x:c r="G52" s="27" t="str">
        <x:v>可用本Excel为数据源</x:v>
      </x:c>
      <x:c r="H52" s="27"/>
      <x:c r="I52" s="27"/>
      <x:c r="J52" s="27"/>
      <x:c r="K52" s="27"/>
      <x:c r="L52" s="27"/>
      <x:c r="M52" s="27"/>
      <x:c r="N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</x:row>
    <x:row r="54">
      <x:c r="A54" s="27" t="str">
        <x:v>V2.6</x:v>
      </x:c>
      <x:c r="B54" s="27" t="str">
        <x:v>原文摘录二次补证</x:v>
      </x:c>
      <x:c r="C54" s="27" t="str">
        <x:v>重点补第20/45—46/53—54/61—64/79—81难</x:v>
      </x:c>
      <x:c r="D54" s="27" t="str">
        <x:v>将校注表与专题原文摘录打通</x:v>
      </x:c>
      <x:c r="E54" s="27" t="str">
        <x:v>高</x:v>
      </x:c>
      <x:c r="F54" s="27" t="str">
        <x:v>未开始</x:v>
      </x:c>
      <x:c r="G54" s="27" t="str">
        <x:v>V2.5后续</x:v>
      </x:c>
      <x:c r="H54" s="27"/>
      <x:c r="I54" s="27"/>
      <x:c r="J54" s="27"/>
      <x:c r="K54" s="27"/>
      <x:c r="L54" s="27"/>
      <x:c r="M54" s="27"/>
      <x:c r="N54" s="27"/>
    </x:row>
    <x:row r="55">
      <x:c r="A55" s="27" t="str">
        <x:v>V2.7</x:v>
      </x:c>
      <x:c r="B55" s="27" t="str">
        <x:v>专题文章首批四篇</x:v>
      </x:c>
      <x:c r="C55" s="27" t="str">
        <x:v>基于V2.6补证清单，先写三打白骨精、真假美猴王、小雷音寺、狮驼岭四篇专题文章</x:v>
      </x:c>
      <x:c r="D55" s="27" t="str">
        <x:v>高</x:v>
      </x:c>
      <x:c r="E55" s="27" t="str">
        <x:v>待启动</x:v>
      </x:c>
      <x:c r="F55" s="27" t="str">
        <x:v>建议从数据资产转入内容资产</x:v>
      </x:c>
      <x:c r="G55" s="27" t="str">
        <x:v>先短文后长文</x:v>
      </x:c>
      <x:c r="H55" s="27"/>
      <x:c r="I55" s="27"/>
      <x:c r="J55" s="27"/>
      <x:c r="K55" s="27"/>
      <x:c r="L55" s="27"/>
      <x:c r="M55" s="27"/>
      <x:c r="N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</x:row>
    <x:row r="58">
      <x:c r="A58" s="242" t="str">
        <x:v>V3.0之后任务</x:v>
      </x:c>
      <x:c r="B58" s="242" t="str">
        <x:v>任务内容</x:v>
      </x:c>
      <x:c r="C58" s="242" t="str">
        <x:v>优先级</x:v>
      </x:c>
      <x:c r="D58" s="242" t="str">
        <x:v>输出物</x:v>
      </x:c>
      <x:c r="E58" s="242" t="str">
        <x:v>负责人/动作</x:v>
      </x:c>
      <x:c r="F58" s="242" t="str">
        <x:v>状态</x:v>
      </x:c>
      <x:c r="G58" s="242" t="str">
        <x:v>备注</x:v>
      </x:c>
      <x:c r="H58" s="27"/>
      <x:c r="I58" s="27"/>
      <x:c r="J58" s="27"/>
      <x:c r="K58" s="27"/>
      <x:c r="L58" s="27"/>
      <x:c r="M58" s="27"/>
      <x:c r="N58" s="27"/>
    </x:row>
    <x:row r="59">
      <x:c r="A59" s="27" t="str">
        <x:v>V4.0产品合并</x:v>
      </x:c>
      <x:c r="B59" s="27" t="str">
        <x:v>合并V2.4图谱工作台与V2.8连载版，做一个主入口</x:v>
      </x:c>
      <x:c r="C59" s="27" t="str">
        <x:v>高</x:v>
      </x:c>
      <x:c r="D59" s="27" t="str">
        <x:v>HTML/PWA产品版</x:v>
      </x:c>
      <x:c r="E59" s="27" t="str">
        <x:v>前端整理</x:v>
      </x:c>
      <x:c r="F59" s="27" t="str">
        <x:v>待启动</x:v>
      </x:c>
      <x:c r="G59" s="27" t="str">
        <x:v>先减法后美化</x:v>
      </x:c>
      <x:c r="H59" s="27"/>
      <x:c r="I59" s="27"/>
      <x:c r="J59" s="27"/>
      <x:c r="K59" s="27"/>
      <x:c r="L59" s="27"/>
      <x:c r="M59" s="27"/>
      <x:c r="N59" s="27"/>
    </x:row>
    <x:row r="60">
      <x:c r="A60" s="27" t="str">
        <x:v>纸质校本抽核</x:v>
      </x:c>
      <x:c r="B60" s="27" t="str">
        <x:v>选定一套纸质校注本，对关键回目与摘录抽核</x:v>
      </x:c>
      <x:c r="C60" s="27" t="str">
        <x:v>高</x:v>
      </x:c>
      <x:c r="D60" s="27" t="str">
        <x:v>校本抽核记录</x:v>
      </x:c>
      <x:c r="E60" s="27" t="str">
        <x:v>人工校核</x:v>
      </x:c>
      <x:c r="F60" s="27" t="str">
        <x:v>待启动</x:v>
      </x:c>
      <x:c r="G60" s="27" t="str">
        <x:v>第27/58/65/74/99回优先</x:v>
      </x:c>
      <x:c r="H60" s="27"/>
      <x:c r="I60" s="27"/>
      <x:c r="J60" s="27"/>
      <x:c r="K60" s="27"/>
      <x:c r="L60" s="27"/>
      <x:c r="M60" s="27"/>
      <x:c r="N60" s="27"/>
    </x:row>
    <x:row r="61">
      <x:c r="A61" s="27" t="str">
        <x:v>首批文章打磨</x:v>
      </x:c>
      <x:c r="B61" s="27" t="str">
        <x:v>四篇长文改成可发布版本</x:v>
      </x:c>
      <x:c r="C61" s="27" t="str">
        <x:v>高</x:v>
      </x:c>
      <x:c r="D61" s="27" t="str">
        <x:v>公众号稿+报告章节</x:v>
      </x:c>
      <x:c r="E61" s="27" t="str">
        <x:v>人工润色</x:v>
      </x:c>
      <x:c r="F61" s="27" t="str">
        <x:v>待启动</x:v>
      </x:c>
      <x:c r="G61" s="27" t="str">
        <x:v>少引用，多分析</x:v>
      </x:c>
      <x:c r="H61" s="27"/>
      <x:c r="I61" s="27"/>
      <x:c r="J61" s="27"/>
      <x:c r="K61" s="27"/>
      <x:c r="L61" s="27"/>
      <x:c r="M61" s="27"/>
      <x:c r="N61" s="27"/>
    </x:row>
    <x:row r="62">
      <x:c r="A62" s="27" t="str">
        <x:v>资料声明页</x:v>
      </x:c>
      <x:c r="B62" s="27" t="str">
        <x:v>写底本、AI、版权、引用说明</x:v>
      </x:c>
      <x:c r="C62" s="27" t="str">
        <x:v>高</x:v>
      </x:c>
      <x:c r="D62" s="27" t="str">
        <x:v>资料与声明页</x:v>
      </x:c>
      <x:c r="E62" s="27" t="str">
        <x:v>统一文案</x:v>
      </x:c>
      <x:c r="F62" s="27" t="str">
        <x:v>待启动</x:v>
      </x:c>
      <x:c r="G62" s="27" t="str">
        <x:v>V5.0必须保留</x:v>
      </x:c>
      <x:c r="H62" s="27"/>
      <x:c r="I62" s="27"/>
      <x:c r="J62" s="27"/>
      <x:c r="K62" s="27"/>
      <x:c r="L62" s="27"/>
      <x:c r="M62" s="27"/>
      <x:c r="N62" s="27"/>
    </x:row>
    <x:row r="63">
      <x:c r="A63" s="27" t="str">
        <x:v>成果包打包</x:v>
      </x:c>
      <x:c r="B63" s="27" t="str">
        <x:v>HTML+Excel+PDF+公众号稿+方法模板</x:v>
      </x:c>
      <x:c r="C63" s="27" t="str">
        <x:v>中</x:v>
      </x:c>
      <x:c r="D63" s="27" t="str">
        <x:v>V5.0目录</x:v>
      </x:c>
      <x:c r="E63" s="27" t="str">
        <x:v>归档</x:v>
      </x:c>
      <x:c r="F63" s="27" t="str">
        <x:v>待启动</x:v>
      </x:c>
      <x:c r="G63" s="27" t="str">
        <x:v>统一命名</x:v>
      </x:c>
      <x:c r="H63" s="27"/>
      <x:c r="I63" s="27"/>
      <x:c r="J63" s="27"/>
      <x:c r="K63" s="27"/>
      <x:c r="L63" s="27"/>
      <x:c r="M63" s="27"/>
      <x:c r="N63" s="27"/>
    </x:row>
    <x:row r="64">
      <x:c r="A64" s="27" t="str">
        <x:v>方法模板抽象</x:v>
      </x:c>
      <x:c r="B64" s="27" t="str">
        <x:v>沉淀AI辅助名著深读六步法</x:v>
      </x:c>
      <x:c r="C64" s="27" t="str">
        <x:v>中</x:v>
      </x:c>
      <x:c r="D64" s="27" t="str">
        <x:v>模板页</x:v>
      </x:c>
      <x:c r="E64" s="27" t="str">
        <x:v>复用到其他书</x:v>
      </x:c>
      <x:c r="F64" s="27" t="str">
        <x:v>待启动</x:v>
      </x:c>
      <x:c r="G64" s="27" t="str">
        <x:v>可用于水经注/金庸等</x:v>
      </x:c>
      <x:c r="H64" s="27"/>
      <x:c r="I64" s="27"/>
      <x:c r="J64" s="27"/>
      <x:c r="K64" s="27"/>
      <x:c r="L64" s="27"/>
      <x:c r="M64" s="27"/>
      <x:c r="N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conditionalFormatting sqref="E2:E7">
    <x:cfRule type="expression" dxfId="0" priority="1">
      <x:formula>E2="待办"</x:formula>
    </x:cfRule>
  </x:conditionalFormatting>
  <x:conditionalFormatting sqref="C2:C7">
    <x:cfRule type="expression" dxfId="1" priority="2">
      <x:formula>C2="高"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2" hidden="0" customWidth="1"/>
    <x:col min="5" max="5" width="14" hidden="0" customWidth="1"/>
    <x:col min="6" max="6" width="18" hidden="0" customWidth="1"/>
    <x:col min="7" max="7" width="18" hidden="0" customWidth="1"/>
    <x:col min="8" max="8" width="36" hidden="0" customWidth="1"/>
    <x:col min="9" max="9" width="34" hidden="0" customWidth="1"/>
    <x:col min="10" max="10" width="22" hidden="0" customWidth="1"/>
    <x:col min="11" max="11" width="12" hidden="0" customWidth="1"/>
    <x:col min="12" max="12" width="32" hidden="0" customWidth="1"/>
    <x:col min="13" max="13" width="24" hidden="0" customWidth="1"/>
    <x:col min="14" max="14" width="24" hidden="0" customWidth="1"/>
  </x:cols>
  <x:sheetData>
    <x:row r="1" ht="15" hidden="0" customHeight="1">
      <x:c r="A1" s="19" t="str">
        <x:v>编号</x:v>
      </x:c>
      <x:c r="B1" s="19" t="str">
        <x:v>人物A</x:v>
      </x:c>
      <x:c r="C1" s="19" t="str">
        <x:v>关系类型</x:v>
      </x:c>
      <x:c r="D1" s="19" t="str">
        <x:v>人物B</x:v>
      </x:c>
      <x:c r="E1" s="19" t="str">
        <x:v>出现回次</x:v>
      </x:c>
      <x:c r="F1" s="19" t="str">
        <x:v>A所属系统</x:v>
      </x:c>
      <x:c r="G1" s="19" t="str">
        <x:v>B所属系统</x:v>
      </x:c>
      <x:c r="H1" s="19" t="str">
        <x:v>关系说明</x:v>
      </x:c>
      <x:c r="I1" s="19" t="str">
        <x:v>研究意义</x:v>
      </x:c>
      <x:c r="J1" s="19" t="str">
        <x:v>可视化层级/边类型</x:v>
      </x:c>
      <x:c r="K1" s="19" t="str">
        <x:v>证据状态</x:v>
      </x:c>
      <x:c r="L1" s="19" t="str">
        <x:v>来源URL</x:v>
      </x:c>
      <x:c r="M1" s="19"/>
      <x:c r="N1" s="19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52.79999923706055" hidden="0" customHeight="1">
      <x:c r="A2" s="27" t="str">
        <x:v>R001</x:v>
      </x:c>
      <x:c r="B2" s="27" t="str">
        <x:v>如来</x:v>
      </x:c>
      <x:c r="C2" s="27" t="str">
        <x:v>授权/使命发布</x:v>
      </x:c>
      <x:c r="D2" s="27" t="str">
        <x:v>观音</x:v>
      </x:c>
      <x:c r="E2" s="27" t="str">
        <x:v>第8回</x:v>
      </x:c>
      <x:c r="F2" s="27" t="str">
        <x:v>灵山系统</x:v>
      </x:c>
      <x:c r="G2" s="27" t="str">
        <x:v>灵山系统</x:v>
      </x:c>
      <x:c r="H2" s="27" t="str">
        <x:v>如来命观音往东土寻取经人。</x:v>
      </x:c>
      <x:c r="I2" s="27" t="str">
        <x:v>取经工程由最高宗教权威发起。</x:v>
      </x:c>
      <x:c r="J2" s="27" t="str">
        <x:v>权威→执行</x:v>
      </x:c>
      <x:c r="K2" s="27" t="str">
        <x:v>待校核原文</x:v>
      </x:c>
      <x:c r="L2" s="27" t="str">
        <x:v>https://zh.wikisource.org/wiki/%E8%A5%BF%E9%81%8A%E8%A8%98/%E7%AC%AC%E5%85%AB%E5%9B%9E</x:v>
      </x:c>
      <x:c r="M2" s="27"/>
      <x:c r="N2" s="27"/>
    </x:row>
    <x:row r="3" ht="52.79999923706055" hidden="0" customHeight="1">
      <x:c r="A3" s="27" t="str">
        <x:v>R002</x:v>
      </x:c>
      <x:c r="B3" s="27" t="str">
        <x:v>观音</x:v>
      </x:c>
      <x:c r="C3" s="27" t="str">
        <x:v>点化/预设护法</x:v>
      </x:c>
      <x:c r="D3" s="27" t="str">
        <x:v>沙悟净</x:v>
      </x:c>
      <x:c r="E3" s="27" t="str">
        <x:v>第8回</x:v>
      </x:c>
      <x:c r="F3" s="27" t="str">
        <x:v>灵山系统</x:v>
      </x:c>
      <x:c r="G3" s="27" t="str">
        <x:v>贬谪神将</x:v>
      </x:c>
      <x:c r="H3" s="27" t="str">
        <x:v>观音点化流沙河沙悟净等待取经人。</x:v>
      </x:c>
      <x:c r="I3" s="27" t="str">
        <x:v>团队成员在集结前已有前史与再安置。</x:v>
      </x:c>
      <x:c r="J3" s="27" t="str">
        <x:v>点化→护法预备</x:v>
      </x:c>
      <x:c r="K3" s="27" t="str">
        <x:v>待校核原文</x:v>
      </x:c>
      <x:c r="L3" s="27" t="str">
        <x:v>https://zh.wikisource.org/wiki/%E8%A5%BF%E9%81%8A%E8%A8%98/%E7%AC%AC%E5%85%AB%E5%9B%9E</x:v>
      </x:c>
      <x:c r="M3" s="27"/>
      <x:c r="N3" s="27"/>
    </x:row>
    <x:row r="4" ht="52.79999923706055" hidden="0" customHeight="1">
      <x:c r="A4" s="27" t="str">
        <x:v>R003</x:v>
      </x:c>
      <x:c r="B4" s="27" t="str">
        <x:v>观音</x:v>
      </x:c>
      <x:c r="C4" s="27" t="str">
        <x:v>点化/预设护法</x:v>
      </x:c>
      <x:c r="D4" s="27" t="str">
        <x:v>猪刚鬣</x:v>
      </x:c>
      <x:c r="E4" s="27" t="str">
        <x:v>第8回</x:v>
      </x:c>
      <x:c r="F4" s="27" t="str">
        <x:v>灵山系统</x:v>
      </x:c>
      <x:c r="G4" s="27" t="str">
        <x:v>贬谪天将</x:v>
      </x:c>
      <x:c r="H4" s="27" t="str">
        <x:v>观音点化福陵山猪刚鬣等待取经人。</x:v>
      </x:c>
      <x:c r="I4" s="27" t="str">
        <x:v>欲望型角色被纳入使命体系。</x:v>
      </x:c>
      <x:c r="J4" s="27" t="str">
        <x:v>点化→护法预备</x:v>
      </x:c>
      <x:c r="K4" s="27" t="str">
        <x:v>待校核原文</x:v>
      </x:c>
      <x:c r="L4" s="27" t="str">
        <x:v>https://zh.wikisource.org/wiki/%E8%A5%BF%E9%81%8A%E8%A8%98/%E7%AC%AC%E5%85%AB%E5%9B%9E</x:v>
      </x:c>
      <x:c r="M4" s="27"/>
      <x:c r="N4" s="27"/>
    </x:row>
    <x:row r="5" ht="52.79999923706055" hidden="0" customHeight="1">
      <x:c r="A5" s="27" t="str">
        <x:v>R004</x:v>
      </x:c>
      <x:c r="B5" s="27" t="str">
        <x:v>观音</x:v>
      </x:c>
      <x:c r="C5" s="27" t="str">
        <x:v>点化/预设护法</x:v>
      </x:c>
      <x:c r="D5" s="27" t="str">
        <x:v>小白龙</x:v>
      </x:c>
      <x:c r="E5" s="27" t="str">
        <x:v>第8回</x:v>
      </x:c>
      <x:c r="F5" s="27" t="str">
        <x:v>灵山系统</x:v>
      </x:c>
      <x:c r="G5" s="27" t="str">
        <x:v>龙族罪人</x:v>
      </x:c>
      <x:c r="H5" s="27" t="str">
        <x:v>观音点化鹰愁涧小白龙等待取经人。</x:v>
      </x:c>
      <x:c r="I5" s="27" t="str">
        <x:v>承载型角色的预设。</x:v>
      </x:c>
      <x:c r="J5" s="27" t="str">
        <x:v>点化→护法预备</x:v>
      </x:c>
      <x:c r="K5" s="27" t="str">
        <x:v>待校核原文</x:v>
      </x:c>
      <x:c r="L5" s="27" t="str">
        <x:v>https://zh.wikisource.org/wiki/%E8%A5%BF%E9%81%8A%E8%A8%98/%E7%AC%AC%E5%85%AB%E5%9B%9E</x:v>
      </x:c>
      <x:c r="M5" s="27"/>
      <x:c r="N5" s="27"/>
    </x:row>
    <x:row r="6" ht="52.79999923706055" hidden="0" customHeight="1">
      <x:c r="A6" s="27" t="str">
        <x:v>R005</x:v>
      </x:c>
      <x:c r="B6" s="27" t="str">
        <x:v>观音</x:v>
      </x:c>
      <x:c r="C6" s="27" t="str">
        <x:v>转化伏笔</x:v>
      </x:c>
      <x:c r="D6" s="27" t="str">
        <x:v>孙悟空</x:v>
      </x:c>
      <x:c r="E6" s="27" t="str">
        <x:v>第8回</x:v>
      </x:c>
      <x:c r="F6" s="27" t="str">
        <x:v>灵山系统</x:v>
      </x:c>
      <x:c r="G6" s="27" t="str">
        <x:v>心猿/被压者</x:v>
      </x:c>
      <x:c r="H6" s="27" t="str">
        <x:v>观音至五行山，提示孙悟空日后护送取经人。</x:v>
      </x:c>
      <x:c r="I6" s="27" t="str">
        <x:v>反叛者向护法者转化的制度安排。</x:v>
      </x:c>
      <x:c r="J6" s="27" t="str">
        <x:v>点化→转化</x:v>
      </x:c>
      <x:c r="K6" s="27" t="str">
        <x:v>待校核原文</x:v>
      </x:c>
      <x:c r="L6" s="27" t="str">
        <x:v>https://zh.wikisource.org/wiki/%E8%A5%BF%E9%81%8A%E8%A8%98/%E7%AC%AC%E5%85%AB%E5%9B%9E</x:v>
      </x:c>
      <x:c r="M6" s="27"/>
      <x:c r="N6" s="27"/>
    </x:row>
    <x:row r="7" ht="52.79999923706055" hidden="0" customHeight="1">
      <x:c r="A7" s="27" t="str">
        <x:v>R006</x:v>
      </x:c>
      <x:c r="B7" s="27" t="str">
        <x:v>陈光蕊</x:v>
      </x:c>
      <x:c r="C7" s="27" t="str">
        <x:v>父子/身世因果</x:v>
      </x:c>
      <x:c r="D7" s="27" t="str">
        <x:v>玄奘/唐僧</x:v>
      </x:c>
      <x:c r="E7" s="27" t="str">
        <x:v>第9回</x:v>
      </x:c>
      <x:c r="F7" s="27" t="str">
        <x:v>人间士人</x:v>
      </x:c>
      <x:c r="G7" s="27" t="str">
        <x:v>佛门僧人</x:v>
      </x:c>
      <x:c r="H7" s="27" t="str">
        <x:v>陈光蕊遇害，玄奘由江流儿身世进入因果线。</x:v>
      </x:c>
      <x:c r="I7" s="27" t="str">
        <x:v>唐僧合法性包含亲缘与苦难来源。</x:v>
      </x:c>
      <x:c r="J7" s="27" t="str">
        <x:v>亲缘→身份</x:v>
      </x:c>
      <x:c r="K7" s="27" t="str">
        <x:v>待校核原文</x:v>
      </x:c>
      <x:c r="L7" s="27" t="str">
        <x:v>https://zh.wikisource.org/wiki/%E8%A5%BF%E9%81%8A%E8%A8%98/%E7%AC%AC%E4%B9%9D%E5%9B%9E</x:v>
      </x:c>
      <x:c r="M7" s="27"/>
      <x:c r="N7" s="27"/>
    </x:row>
    <x:row r="8" ht="52.79999923706055" hidden="0" customHeight="1">
      <x:c r="A8" s="27" t="str">
        <x:v>R007</x:v>
      </x:c>
      <x:c r="B8" s="27" t="str">
        <x:v>殷温娇</x:v>
      </x:c>
      <x:c r="C8" s="27" t="str">
        <x:v>母子/托孤</x:v>
      </x:c>
      <x:c r="D8" s="27" t="str">
        <x:v>玄奘/唐僧</x:v>
      </x:c>
      <x:c r="E8" s="27" t="str">
        <x:v>第9回</x:v>
      </x:c>
      <x:c r="F8" s="27" t="str">
        <x:v>人间官眷</x:v>
      </x:c>
      <x:c r="G8" s="27" t="str">
        <x:v>佛门僧人</x:v>
      </x:c>
      <x:c r="H8" s="27" t="str">
        <x:v>殷小姐托江流儿保全血脉。</x:v>
      </x:c>
      <x:c r="I8" s="27" t="str">
        <x:v>唐僧身世具有苦难叙事和报本主题。</x:v>
      </x:c>
      <x:c r="J8" s="27" t="str">
        <x:v>亲缘→身份</x:v>
      </x:c>
      <x:c r="K8" s="27" t="str">
        <x:v>待校核原文</x:v>
      </x:c>
      <x:c r="L8" s="27" t="str">
        <x:v>https://zh.wikisource.org/wiki/%E8%A5%BF%E9%81%8A%E8%A8%98/%E7%AC%AC%E4%B9%9D%E5%9B%9E</x:v>
      </x:c>
      <x:c r="M8" s="27"/>
      <x:c r="N8" s="27"/>
    </x:row>
    <x:row r="9" ht="52.79999923706055" hidden="0" customHeight="1">
      <x:c r="A9" s="27" t="str">
        <x:v>R008</x:v>
      </x:c>
      <x:c r="B9" s="27" t="str">
        <x:v>刘洪</x:v>
      </x:c>
      <x:c r="C9" s="27" t="str">
        <x:v>加害/冒名</x:v>
      </x:c>
      <x:c r="D9" s="27" t="str">
        <x:v>陈光蕊</x:v>
      </x:c>
      <x:c r="E9" s="27" t="str">
        <x:v>第9回</x:v>
      </x:c>
      <x:c r="F9" s="27" t="str">
        <x:v>人间恶人</x:v>
      </x:c>
      <x:c r="G9" s="27" t="str">
        <x:v>人间士人</x:v>
      </x:c>
      <x:c r="H9" s="27" t="str">
        <x:v>刘洪害陈光蕊并冒官。</x:v>
      </x:c>
      <x:c r="I9" s="27" t="str">
        <x:v>人间秩序败坏与因果报应。</x:v>
      </x:c>
      <x:c r="J9" s="27" t="str">
        <x:v>冲突→因果</x:v>
      </x:c>
      <x:c r="K9" s="27" t="str">
        <x:v>待校核原文</x:v>
      </x:c>
      <x:c r="L9" s="27" t="str">
        <x:v>https://zh.wikisource.org/wiki/%E8%A5%BF%E9%81%8A%E8%A8%98/%E7%AC%AC%E4%B9%9D%E5%9B%9E</x:v>
      </x:c>
      <x:c r="M9" s="27"/>
      <x:c r="N9" s="27"/>
    </x:row>
    <x:row r="10" ht="52.79999923706055" hidden="0" customHeight="1">
      <x:c r="A10" s="27" t="str">
        <x:v>R009</x:v>
      </x:c>
      <x:c r="B10" s="27" t="str">
        <x:v>泾河龙王</x:v>
      </x:c>
      <x:c r="C10" s="27" t="str">
        <x:v>争胜/犯律</x:v>
      </x:c>
      <x:c r="D10" s="27" t="str">
        <x:v>袁守诚</x:v>
      </x:c>
      <x:c r="E10" s="27" t="str">
        <x:v>第10回</x:v>
      </x:c>
      <x:c r="F10" s="27" t="str">
        <x:v>龙族水府</x:v>
      </x:c>
      <x:c r="G10" s="27" t="str">
        <x:v>人间术士</x:v>
      </x:c>
      <x:c r="H10" s="27" t="str">
        <x:v>龙王为胜袁守诚之言而改雨。</x:v>
      </x:c>
      <x:c r="I10" s="27" t="str">
        <x:v>侥幸争胜引发制度性后果。</x:v>
      </x:c>
      <x:c r="J10" s="27" t="str">
        <x:v>冲突→触发</x:v>
      </x:c>
      <x:c r="K10" s="27" t="str">
        <x:v>待校核原文</x:v>
      </x:c>
      <x:c r="L10" s="27" t="str">
        <x:v>https://zh.wikisource.org/wiki/%E8%A5%BF%E9%81%8A%E8%A8%98/%E7%AC%AC%E5%8D%81%E5%9B%9E</x:v>
      </x:c>
      <x:c r="M10" s="27"/>
      <x:c r="N10" s="27"/>
    </x:row>
    <x:row r="11" ht="52.79999923706055" hidden="0" customHeight="1">
      <x:c r="A11" s="27" t="str">
        <x:v>R010</x:v>
      </x:c>
      <x:c r="B11" s="27" t="str">
        <x:v>魏征</x:v>
      </x:c>
      <x:c r="C11" s="27" t="str">
        <x:v>执行天命</x:v>
      </x:c>
      <x:c r="D11" s="27" t="str">
        <x:v>泾河龙王</x:v>
      </x:c>
      <x:c r="E11" s="27" t="str">
        <x:v>第10回</x:v>
      </x:c>
      <x:c r="F11" s="27" t="str">
        <x:v>唐朝朝廷/天命执行者</x:v>
      </x:c>
      <x:c r="G11" s="27" t="str">
        <x:v>龙族水府</x:v>
      </x:c>
      <x:c r="H11" s="27" t="str">
        <x:v>魏征梦中斩龙。</x:v>
      </x:c>
      <x:c r="I11" s="27" t="str">
        <x:v>人间官僚成为天条执行者。</x:v>
      </x:c>
      <x:c r="J11" s="27" t="str">
        <x:v>制度→惩戒</x:v>
      </x:c>
      <x:c r="K11" s="27" t="str">
        <x:v>待校核原文</x:v>
      </x:c>
      <x:c r="L11" s="27" t="str">
        <x:v>https://zh.wikisource.org/wiki/%E8%A5%BF%E9%81%8A%E8%A8%98/%E7%AC%AC%E5%8D%81%E5%9B%9E</x:v>
      </x:c>
      <x:c r="M11" s="27"/>
      <x:c r="N11" s="27"/>
    </x:row>
    <x:row r="12" ht="66" hidden="0" customHeight="1">
      <x:c r="A12" s="27" t="str">
        <x:v>R011</x:v>
      </x:c>
      <x:c r="B12" s="27" t="str">
        <x:v>唐太宗</x:v>
      </x:c>
      <x:c r="C12" s="27" t="str">
        <x:v>冥府审验</x:v>
      </x:c>
      <x:c r="D12" s="27" t="str">
        <x:v>十殿阎王</x:v>
      </x:c>
      <x:c r="E12" s="27" t="str">
        <x:v>第11回</x:v>
      </x:c>
      <x:c r="F12" s="27" t="str">
        <x:v>人间帝王</x:v>
      </x:c>
      <x:c r="G12" s="27" t="str">
        <x:v>地府系统</x:v>
      </x:c>
      <x:c r="H12" s="27" t="str">
        <x:v>唐太宗入冥府并还魂。</x:v>
      </x:c>
      <x:c r="I12" s="27" t="str">
        <x:v>帝王也受生死秩序约束。</x:v>
      </x:c>
      <x:c r="J12" s="27" t="str">
        <x:v>人间↔冥府</x:v>
      </x:c>
      <x:c r="K12" s="27" t="str">
        <x:v>待校核原文</x:v>
      </x:c>
      <x:c r="L12" s="27" t="str">
        <x:v>https://zh.wikisource.org/wiki/%E8%A5%BF%E9%81%8A%E8%A8%98/%E7%AC%AC%E5%8D%81%E4%B8%80%E5%9B%9E</x:v>
      </x:c>
      <x:c r="M12" s="27"/>
      <x:c r="N12" s="27"/>
    </x:row>
    <x:row r="13" ht="66" hidden="0" customHeight="1">
      <x:c r="A13" s="27" t="str">
        <x:v>R012</x:v>
      </x:c>
      <x:c r="B13" s="27" t="str">
        <x:v>观音</x:v>
      </x:c>
      <x:c r="C13" s="27" t="str">
        <x:v>显圣/授命</x:v>
      </x:c>
      <x:c r="D13" s="27" t="str">
        <x:v>玄奘/唐僧</x:v>
      </x:c>
      <x:c r="E13" s="27" t="str">
        <x:v>第12回</x:v>
      </x:c>
      <x:c r="F13" s="27" t="str">
        <x:v>灵山系统</x:v>
      </x:c>
      <x:c r="G13" s="27" t="str">
        <x:v>佛门僧人</x:v>
      </x:c>
      <x:c r="H13" s="27" t="str">
        <x:v>观音在水陆大会显圣，促成玄奘取经。</x:v>
      </x:c>
      <x:c r="I13" s="27" t="str">
        <x:v>个人使命获得宗教合法性。</x:v>
      </x:c>
      <x:c r="J13" s="27" t="str">
        <x:v>授权→责任人</x:v>
      </x:c>
      <x:c r="K13" s="27" t="str">
        <x:v>待校核原文</x:v>
      </x:c>
      <x:c r="L13" s="27" t="str">
        <x:v>https://zh.wikisource.org/wiki/%E8%A5%BF%E9%81%8A%E8%A8%98/%E7%AC%AC%E5%8D%81%E4%BA%8C%E5%9B%9E</x:v>
      </x:c>
      <x:c r="M13" s="27"/>
      <x:c r="N13" s="27"/>
    </x:row>
    <x:row r="14" ht="66" hidden="0" customHeight="1">
      <x:c r="A14" s="27" t="str">
        <x:v>R013</x:v>
      </x:c>
      <x:c r="B14" s="27" t="str">
        <x:v>唐太宗</x:v>
      </x:c>
      <x:c r="C14" s="27" t="str">
        <x:v>君王授权/结拜送行</x:v>
      </x:c>
      <x:c r="D14" s="27" t="str">
        <x:v>玄奘/唐僧</x:v>
      </x:c>
      <x:c r="E14" s="27" t="str">
        <x:v>第12回</x:v>
      </x:c>
      <x:c r="F14" s="27" t="str">
        <x:v>人间王权</x:v>
      </x:c>
      <x:c r="G14" s="27" t="str">
        <x:v>佛门僧人</x:v>
      </x:c>
      <x:c r="H14" s="27" t="str">
        <x:v>唐王送玄奘西行并赐号。</x:v>
      </x:c>
      <x:c r="I14" s="27" t="str">
        <x:v>取经任务获得人间政治合法性。</x:v>
      </x:c>
      <x:c r="J14" s="27" t="str">
        <x:v>授权→责任人</x:v>
      </x:c>
      <x:c r="K14" s="27" t="str">
        <x:v>待校核原文</x:v>
      </x:c>
      <x:c r="L14" s="27" t="str">
        <x:v>https://zh.wikisource.org/wiki/%E8%A5%BF%E9%81%8A%E8%A8%98/%E7%AC%AC%E5%8D%81%E4%BA%8C%E5%9B%9E</x:v>
      </x:c>
      <x:c r="M14" s="27"/>
      <x:c r="N14" s="27"/>
    </x:row>
    <x:row r="15" ht="66" hidden="0" customHeight="1">
      <x:c r="A15" s="27" t="str">
        <x:v>R014</x:v>
      </x:c>
      <x:c r="B15" s="27" t="str">
        <x:v>太白金星</x:v>
      </x:c>
      <x:c r="C15" s="27" t="str">
        <x:v>救援/解厄</x:v>
      </x:c>
      <x:c r="D15" s="27" t="str">
        <x:v>唐僧</x:v>
      </x:c>
      <x:c r="E15" s="27" t="str">
        <x:v>第13回</x:v>
      </x:c>
      <x:c r="F15" s="27" t="str">
        <x:v>天庭系统</x:v>
      </x:c>
      <x:c r="G15" s="27" t="str">
        <x:v>取经人</x:v>
      </x:c>
      <x:c r="H15" s="27" t="str">
        <x:v>唐僧双叉岭遇险，太白金星救脱。</x:v>
      </x:c>
      <x:c r="I15" s="27" t="str">
        <x:v>取经初期外部护持机制。</x:v>
      </x:c>
      <x:c r="J15" s="27" t="str">
        <x:v>救援→取经人</x:v>
      </x:c>
      <x:c r="K15" s="27" t="str">
        <x:v>待校核原文</x:v>
      </x:c>
      <x:c r="L15" s="27" t="str">
        <x:v>https://zh.wikisource.org/wiki/%E8%A5%BF%E9%81%8A%E8%A8%98/%E7%AC%AC%E5%8D%81%E4%B8%89%E5%9B%9E</x:v>
      </x:c>
      <x:c r="M15" s="27"/>
      <x:c r="N15" s="27"/>
    </x:row>
    <x:row r="16" ht="66" hidden="0" customHeight="1">
      <x:c r="A16" s="27" t="str">
        <x:v>R015</x:v>
      </x:c>
      <x:c r="B16" s="27" t="str">
        <x:v>刘伯钦</x:v>
      </x:c>
      <x:c r="C16" s="27" t="str">
        <x:v>地方接应/保护</x:v>
      </x:c>
      <x:c r="D16" s="27" t="str">
        <x:v>唐僧</x:v>
      </x:c>
      <x:c r="E16" s="27" t="str">
        <x:v>第13回</x:v>
      </x:c>
      <x:c r="F16" s="27" t="str">
        <x:v>地方猎户</x:v>
      </x:c>
      <x:c r="G16" s="27" t="str">
        <x:v>取经人</x:v>
      </x:c>
      <x:c r="H16" s="27" t="str">
        <x:v>刘伯钦留宿、接应唐僧。</x:v>
      </x:c>
      <x:c r="I16" s="27" t="str">
        <x:v>基层向导与本地经验对使命落地的重要性。</x:v>
      </x:c>
      <x:c r="J16" s="27" t="str">
        <x:v>地方支持→取经人</x:v>
      </x:c>
      <x:c r="K16" s="27" t="str">
        <x:v>待校核原文</x:v>
      </x:c>
      <x:c r="L16" s="27" t="str">
        <x:v>https://zh.wikisource.org/wiki/%E8%A5%BF%E9%81%8A%E8%A8%98/%E7%AC%AC%E5%8D%81%E4%B8%89%E5%9B%9E</x:v>
      </x:c>
      <x:c r="M16" s="27"/>
      <x:c r="N16" s="27"/>
    </x:row>
    <x:row r="17" ht="66" hidden="0" customHeight="1">
      <x:c r="A17" s="27" t="str">
        <x:v>R016</x:v>
      </x:c>
      <x:c r="B17" s="27" t="str">
        <x:v>唐僧</x:v>
      </x:c>
      <x:c r="C17" s="27" t="str">
        <x:v>解救/师徒</x:v>
      </x:c>
      <x:c r="D17" s="27" t="str">
        <x:v>孙悟空</x:v>
      </x:c>
      <x:c r="E17" s="27" t="str">
        <x:v>第14回</x:v>
      </x:c>
      <x:c r="F17" s="27" t="str">
        <x:v>取经人</x:v>
      </x:c>
      <x:c r="G17" s="27" t="str">
        <x:v>心猿/护法</x:v>
      </x:c>
      <x:c r="H17" s="27" t="str">
        <x:v>唐僧揭帖救出悟空，二人结为师徒。</x:v>
      </x:c>
      <x:c r="I17" s="27" t="str">
        <x:v>团队核心关系正式建立。</x:v>
      </x:c>
      <x:c r="J17" s="27" t="str">
        <x:v>师徒→团队核心</x:v>
      </x:c>
      <x:c r="K17" s="27" t="str">
        <x:v>待校核原文</x:v>
      </x:c>
      <x:c r="L17" s="27" t="str">
        <x:v>https://zh.wikisource.org/wiki/%E8%A5%BF%E9%81%8A%E8%A8%98/%E7%AC%AC%E5%8D%81%E5%9B%9B%E5%9B%9E</x:v>
      </x:c>
      <x:c r="M17" s="27"/>
      <x:c r="N17" s="27"/>
    </x:row>
    <x:row r="18" ht="66" hidden="0" customHeight="1">
      <x:c r="A18" s="27" t="str">
        <x:v>R017</x:v>
      </x:c>
      <x:c r="B18" s="27" t="str">
        <x:v>孙悟空</x:v>
      </x:c>
      <x:c r="C18" s="27" t="str">
        <x:v>冲突/磨合</x:v>
      </x:c>
      <x:c r="D18" s="27" t="str">
        <x:v>唐僧</x:v>
      </x:c>
      <x:c r="E18" s="27" t="str">
        <x:v>第14回</x:v>
      </x:c>
      <x:c r="F18" s="27" t="str">
        <x:v>护法</x:v>
      </x:c>
      <x:c r="G18" s="27" t="str">
        <x:v>取经人</x:v>
      </x:c>
      <x:c r="H18" s="27" t="str">
        <x:v>悟空打死六贼，唐僧责备，师徒冲突。</x:v>
      </x:c>
      <x:c r="I18" s="27" t="str">
        <x:v>高能力成员与价值约束的初次冲突。</x:v>
      </x:c>
      <x:c r="J18" s="27" t="str">
        <x:v>冲突→磨合</x:v>
      </x:c>
      <x:c r="K18" s="27" t="str">
        <x:v>待校核原文</x:v>
      </x:c>
      <x:c r="L18" s="27" t="str">
        <x:v>https://zh.wikisource.org/wiki/%E8%A5%BF%E9%81%8A%E8%A8%98/%E7%AC%AC%E5%8D%81%E5%9B%9B%E5%9B%9E</x:v>
      </x:c>
      <x:c r="M18" s="27"/>
      <x:c r="N18" s="27"/>
    </x:row>
    <x:row r="19" ht="66" hidden="0" customHeight="1">
      <x:c r="A19" s="27" t="str">
        <x:v>R018</x:v>
      </x:c>
      <x:c r="B19" s="27" t="str">
        <x:v>观音</x:v>
      </x:c>
      <x:c r="C19" s="27" t="str">
        <x:v>规训工具/紧箍咒</x:v>
      </x:c>
      <x:c r="D19" s="27" t="str">
        <x:v>孙悟空</x:v>
      </x:c>
      <x:c r="E19" s="27" t="str">
        <x:v>第14回</x:v>
      </x:c>
      <x:c r="F19" s="27" t="str">
        <x:v>灵山系统</x:v>
      </x:c>
      <x:c r="G19" s="27" t="str">
        <x:v>护法</x:v>
      </x:c>
      <x:c r="H19" s="27" t="str">
        <x:v>观音授唐僧紧箍咒以约束悟空。</x:v>
      </x:c>
      <x:c r="I19" s="27" t="str">
        <x:v>把外在规训转化为团队运行机制。</x:v>
      </x:c>
      <x:c r="J19" s="27" t="str">
        <x:v>规训→护法</x:v>
      </x:c>
      <x:c r="K19" s="27" t="str">
        <x:v>待校核原文</x:v>
      </x:c>
      <x:c r="L19" s="27" t="str">
        <x:v>https://zh.wikisource.org/wiki/%E8%A5%BF%E9%81%8A%E8%A8%98/%E7%AC%AC%E5%8D%81%E5%9B%9B%E5%9B%9E</x:v>
      </x:c>
      <x:c r="M19" s="27"/>
      <x:c r="N19" s="27"/>
    </x:row>
    <x:row r="20" ht="26.399999618530273" hidden="0" customHeight="1">
      <x:c r="A20" s="27" t="str">
        <x:v>R019</x:v>
      </x:c>
      <x:c r="B20" s="27" t="str">
        <x:v>观音</x:v>
      </x:c>
      <x:c r="C20" s="27" t="str">
        <x:v>点化/安置</x:v>
      </x:c>
      <x:c r="D20" s="27" t="str">
        <x:v>小白龙</x:v>
      </x:c>
      <x:c r="E20" s="27" t="str">
        <x:v>第15回</x:v>
      </x:c>
      <x:c r="F20" s="27" t="str">
        <x:v>灵山系统</x:v>
      </x:c>
      <x:c r="G20" s="27" t="str">
        <x:v>龙族/取经团队</x:v>
      </x:c>
      <x:c r="H20" s="27" t="str">
        <x:v>观音点化小白龙化作白马，承担护送职责。</x:v>
      </x:c>
      <x:c r="I20" s="27" t="str">
        <x:v>把问题对象转化为基础保障资源。</x:v>
      </x:c>
      <x:c r="J20" s="27" t="str">
        <x:v>点化→承载</x:v>
      </x:c>
      <x:c r="K20" s="27" t="str">
        <x:v>待校核原文</x:v>
      </x:c>
      <x:c r="L20" s="27" t="str">
        <x:v>https://zh.wikisource.org/wiki/西游记/第十五回</x:v>
      </x:c>
      <x:c r="M20" s="27"/>
      <x:c r="N20" s="27"/>
    </x:row>
    <x:row r="21" ht="26.399999618530273" hidden="0" customHeight="1">
      <x:c r="A21" s="27" t="str">
        <x:v>R020</x:v>
      </x:c>
      <x:c r="B21" s="27" t="str">
        <x:v>唐僧</x:v>
      </x:c>
      <x:c r="C21" s="27" t="str">
        <x:v>乘载/依赖</x:v>
      </x:c>
      <x:c r="D21" s="27" t="str">
        <x:v>白龙马</x:v>
      </x:c>
      <x:c r="E21" s="27" t="str">
        <x:v>第15回</x:v>
      </x:c>
      <x:c r="F21" s="27" t="str">
        <x:v>取经团队</x:v>
      </x:c>
      <x:c r="G21" s="27" t="str">
        <x:v>取经团队</x:v>
      </x:c>
      <x:c r="H21" s="27" t="str">
        <x:v>白龙马成为唐僧长期坐骑。</x:v>
      </x:c>
      <x:c r="I21" s="27" t="str">
        <x:v>团队基础设施与沉默贡献者。</x:v>
      </x:c>
      <x:c r="J21" s="27" t="str">
        <x:v>核心团队内部</x:v>
      </x:c>
      <x:c r="K21" s="27" t="str">
        <x:v>待校核原文</x:v>
      </x:c>
      <x:c r="L21" s="27" t="str">
        <x:v>https://zh.wikisource.org/wiki/西游记/第十五回</x:v>
      </x:c>
      <x:c r="M21" s="27"/>
      <x:c r="N21" s="27"/>
    </x:row>
    <x:row r="22" ht="26.399999618530273" hidden="0" customHeight="1">
      <x:c r="A22" s="27" t="str">
        <x:v>R021</x:v>
      </x:c>
      <x:c r="B22" s="27" t="str">
        <x:v>孙悟空</x:v>
      </x:c>
      <x:c r="C22" s="27" t="str">
        <x:v>炫示引发风险</x:v>
      </x:c>
      <x:c r="D22" s="27" t="str">
        <x:v>锦襕袈裟</x:v>
      </x:c>
      <x:c r="E22" s="27" t="str">
        <x:v>第16回</x:v>
      </x:c>
      <x:c r="F22" s="27" t="str">
        <x:v>取经团队</x:v>
      </x:c>
      <x:c r="G22" s="27" t="str">
        <x:v>佛门法物</x:v>
      </x:c>
      <x:c r="H22" s="27" t="str">
        <x:v>悟空展示袈裟，引发金池长老贪念。</x:v>
      </x:c>
      <x:c r="I22" s="27" t="str">
        <x:v>能力/资源展示方式影响风险暴露。</x:v>
      </x:c>
      <x:c r="J22" s="27" t="str">
        <x:v>人物→物/风险触发</x:v>
      </x:c>
      <x:c r="K22" s="27" t="str">
        <x:v>待校核原文</x:v>
      </x:c>
      <x:c r="L22" s="27" t="str">
        <x:v>https://zh.wikisource.org/wiki/西游记/第十六回</x:v>
      </x:c>
      <x:c r="M22" s="27"/>
      <x:c r="N22" s="27"/>
    </x:row>
    <x:row r="23" ht="26.399999618530273" hidden="0" customHeight="1">
      <x:c r="A23" s="27" t="str">
        <x:v>R022</x:v>
      </x:c>
      <x:c r="B23" s="27" t="str">
        <x:v>金池长老</x:v>
      </x:c>
      <x:c r="C23" s="27" t="str">
        <x:v>贪念/谋害</x:v>
      </x:c>
      <x:c r="D23" s="27" t="str">
        <x:v>唐僧师徒</x:v>
      </x:c>
      <x:c r="E23" s="27" t="str">
        <x:v>第16回</x:v>
      </x:c>
      <x:c r="F23" s="27" t="str">
        <x:v>观音院</x:v>
      </x:c>
      <x:c r="G23" s="27" t="str">
        <x:v>取经团队</x:v>
      </x:c>
      <x:c r="H23" s="27" t="str">
        <x:v>因贪袈裟而谋害唐僧师徒。</x:v>
      </x:c>
      <x:c r="I23" s="27" t="str">
        <x:v>内部场景中的人性风险。</x:v>
      </x:c>
      <x:c r="J23" s="27" t="str">
        <x:v>反向关系/风险</x:v>
      </x:c>
      <x:c r="K23" s="27" t="str">
        <x:v>待校核原文</x:v>
      </x:c>
      <x:c r="L23" s="27" t="str">
        <x:v>https://zh.wikisource.org/wiki/西游记/第十六回</x:v>
      </x:c>
      <x:c r="M23" s="27"/>
      <x:c r="N23" s="27"/>
    </x:row>
    <x:row r="24" ht="26.399999618530273" hidden="0" customHeight="1">
      <x:c r="A24" s="27" t="str">
        <x:v>R023</x:v>
      </x:c>
      <x:c r="B24" s="27" t="str">
        <x:v>黑熊精</x:v>
      </x:c>
      <x:c r="C24" s="27" t="str">
        <x:v>盗取</x:v>
      </x:c>
      <x:c r="D24" s="27" t="str">
        <x:v>锦襕袈裟</x:v>
      </x:c>
      <x:c r="E24" s="27" t="str">
        <x:v>第16—17回</x:v>
      </x:c>
      <x:c r="F24" s="27" t="str">
        <x:v>黑风山</x:v>
      </x:c>
      <x:c r="G24" s="27" t="str">
        <x:v>佛门法物</x:v>
      </x:c>
      <x:c r="H24" s="27" t="str">
        <x:v>黑熊精趁乱盗取袈裟。</x:v>
      </x:c>
      <x:c r="I24" s="27" t="str">
        <x:v>外部风险常借内部失守发生。</x:v>
      </x:c>
      <x:c r="J24" s="27" t="str">
        <x:v>妖怪→物</x:v>
      </x:c>
      <x:c r="K24" s="27" t="str">
        <x:v>待校核原文</x:v>
      </x:c>
      <x:c r="L24" s="27" t="str">
        <x:v>https://zh.wikisource.org/wiki/西游记/第十七回</x:v>
      </x:c>
      <x:c r="M24" s="27"/>
      <x:c r="N24" s="27"/>
    </x:row>
    <x:row r="25" ht="26.399999618530273" hidden="0" customHeight="1">
      <x:c r="A25" s="27" t="str">
        <x:v>R024</x:v>
      </x:c>
      <x:c r="B25" s="27" t="str">
        <x:v>观音</x:v>
      </x:c>
      <x:c r="C25" s="27" t="str">
        <x:v>收伏/再任用</x:v>
      </x:c>
      <x:c r="D25" s="27" t="str">
        <x:v>黑熊精</x:v>
      </x:c>
      <x:c r="E25" s="27" t="str">
        <x:v>第17回</x:v>
      </x:c>
      <x:c r="F25" s="27" t="str">
        <x:v>灵山系统</x:v>
      </x:c>
      <x:c r="G25" s="27" t="str">
        <x:v>黑风山妖怪</x:v>
      </x:c>
      <x:c r="H25" s="27" t="str">
        <x:v>观音收伏黑熊精，使其转为守山大神。</x:v>
      </x:c>
      <x:c r="I25" s="27" t="str">
        <x:v>风险对象治理：惩戒、收编、再安置。</x:v>
      </x:c>
      <x:c r="J25" s="27" t="str">
        <x:v>收伏→安置</x:v>
      </x:c>
      <x:c r="K25" s="27" t="str">
        <x:v>待校核原文</x:v>
      </x:c>
      <x:c r="L25" s="27" t="str">
        <x:v>https://zh.wikisource.org/wiki/西游记/第十七回</x:v>
      </x:c>
      <x:c r="M25" s="27"/>
      <x:c r="N25" s="27"/>
    </x:row>
    <x:row r="26" ht="26.399999618530273" hidden="0" customHeight="1">
      <x:c r="A26" s="27" t="str">
        <x:v>R025</x:v>
      </x:c>
      <x:c r="B26" s="27" t="str">
        <x:v>孙悟空</x:v>
      </x:c>
      <x:c r="C26" s="27" t="str">
        <x:v>收伏/引入团队</x:v>
      </x:c>
      <x:c r="D26" s="27" t="str">
        <x:v>猪八戒</x:v>
      </x:c>
      <x:c r="E26" s="27" t="str">
        <x:v>第18—19回</x:v>
      </x:c>
      <x:c r="F26" s="27" t="str">
        <x:v>取经团队</x:v>
      </x:c>
      <x:c r="G26" s="27" t="str">
        <x:v>贬谪天神/取经团队</x:v>
      </x:c>
      <x:c r="H26" s="27" t="str">
        <x:v>悟空在高老庄收伏猪刚鬣，促成八戒归队。</x:v>
      </x:c>
      <x:c r="I26" s="27" t="str">
        <x:v>团队扩编不是招聘理想人，而是改造可用人。</x:v>
      </x:c>
      <x:c r="J26" s="27" t="str">
        <x:v>收伏→同伴</x:v>
      </x:c>
      <x:c r="K26" s="27" t="str">
        <x:v>待校核原文</x:v>
      </x:c>
      <x:c r="L26" s="27" t="str">
        <x:v>https://zh.wikisource.org/wiki/西游记/第十九回</x:v>
      </x:c>
      <x:c r="M26" s="27"/>
      <x:c r="N26" s="27"/>
    </x:row>
    <x:row r="27" ht="26.399999618530273" hidden="0" customHeight="1">
      <x:c r="A27" s="27" t="str">
        <x:v>R026</x:v>
      </x:c>
      <x:c r="B27" s="27" t="str">
        <x:v>唐僧</x:v>
      </x:c>
      <x:c r="C27" s="27" t="str">
        <x:v>师徒/命名</x:v>
      </x:c>
      <x:c r="D27" s="27" t="str">
        <x:v>猪八戒</x:v>
      </x:c>
      <x:c r="E27" s="27" t="str">
        <x:v>第19回</x:v>
      </x:c>
      <x:c r="F27" s="27" t="str">
        <x:v>取经团队</x:v>
      </x:c>
      <x:c r="G27" s="27" t="str">
        <x:v>取经团队</x:v>
      </x:c>
      <x:c r="H27" s="27" t="str">
        <x:v>唐僧接纳猪悟能为徒，形成师徒名分。</x:v>
      </x:c>
      <x:c r="I27" s="27" t="str">
        <x:v>合法性赋予成员身份。</x:v>
      </x:c>
      <x:c r="J27" s="27" t="str">
        <x:v>师徒</x:v>
      </x:c>
      <x:c r="K27" s="27" t="str">
        <x:v>待校核原文</x:v>
      </x:c>
      <x:c r="L27" s="27" t="str">
        <x:v>https://zh.wikisource.org/wiki/西游记/第十九回</x:v>
      </x:c>
      <x:c r="M27" s="27"/>
      <x:c r="N27" s="27"/>
    </x:row>
    <x:row r="28" ht="26.399999618530273" hidden="0" customHeight="1">
      <x:c r="A28" s="27" t="str">
        <x:v>R027</x:v>
      </x:c>
      <x:c r="B28" s="27" t="str">
        <x:v>乌巢禅师</x:v>
      </x:c>
      <x:c r="C28" s="27" t="str">
        <x:v>传授心法</x:v>
      </x:c>
      <x:c r="D28" s="27" t="str">
        <x:v>唐僧</x:v>
      </x:c>
      <x:c r="E28" s="27" t="str">
        <x:v>第19回</x:v>
      </x:c>
      <x:c r="F28" s="27" t="str">
        <x:v>佛门/高人系统</x:v>
      </x:c>
      <x:c r="G28" s="27" t="str">
        <x:v>取经团队</x:v>
      </x:c>
      <x:c r="H28" s="27" t="str">
        <x:v>乌巢禅师向唐僧传授《心经》。</x:v>
      </x:c>
      <x:c r="I28" s="27" t="str">
        <x:v>团队除了外在护法，还需要内在心法。</x:v>
      </x:c>
      <x:c r="J28" s="27" t="str">
        <x:v>导师→心法</x:v>
      </x:c>
      <x:c r="K28" s="27" t="str">
        <x:v>待校核原文</x:v>
      </x:c>
      <x:c r="L28" s="27" t="str">
        <x:v>https://zh.wikisource.org/wiki/西游记/第十九回</x:v>
      </x:c>
      <x:c r="M28" s="27"/>
      <x:c r="N28" s="27"/>
    </x:row>
    <x:row r="29" ht="26.399999618530273" hidden="0" customHeight="1">
      <x:c r="A29" s="27" t="str">
        <x:v>R028</x:v>
      </x:c>
      <x:c r="B29" s="27" t="str">
        <x:v>黄风怪</x:v>
      </x:c>
      <x:c r="C29" s="27" t="str">
        <x:v>摄拿/阻碍</x:v>
      </x:c>
      <x:c r="D29" s="27" t="str">
        <x:v>唐僧</x:v>
      </x:c>
      <x:c r="E29" s="27" t="str">
        <x:v>第20回</x:v>
      </x:c>
      <x:c r="F29" s="27" t="str">
        <x:v>黄风岭妖怪系统</x:v>
      </x:c>
      <x:c r="G29" s="27" t="str">
        <x:v>取经团队</x:v>
      </x:c>
      <x:c r="H29" s="27" t="str">
        <x:v>黄风怪摄唐僧，形成黄风岭之难。</x:v>
      </x:c>
      <x:c r="I29" s="27" t="str">
        <x:v>团队遭遇能力克制型风险。</x:v>
      </x:c>
      <x:c r="J29" s="27" t="str">
        <x:v>妖怪→阻碍</x:v>
      </x:c>
      <x:c r="K29" s="27" t="str">
        <x:v>待校核原文</x:v>
      </x:c>
      <x:c r="L29" s="27" t="str">
        <x:v>https://zh.wikisource.org/wiki/西游记/第二十回</x:v>
      </x:c>
      <x:c r="M29" s="27"/>
      <x:c r="N29" s="27"/>
    </x:row>
    <x:row r="30" ht="26.399999618530273" hidden="0" customHeight="1">
      <x:c r="A30" s="27" t="str">
        <x:v>R029</x:v>
      </x:c>
      <x:c r="B30" s="27" t="str">
        <x:v>灵吉菩萨</x:v>
      </x:c>
      <x:c r="C30" s="27" t="str">
        <x:v>专业降伏</x:v>
      </x:c>
      <x:c r="D30" s="27" t="str">
        <x:v>黄风怪</x:v>
      </x:c>
      <x:c r="E30" s="27" t="str">
        <x:v>第21回</x:v>
      </x:c>
      <x:c r="F30" s="27" t="str">
        <x:v>灵山系统</x:v>
      </x:c>
      <x:c r="G30" s="27" t="str">
        <x:v>黄风岭妖怪系统</x:v>
      </x:c>
      <x:c r="H30" s="27" t="str">
        <x:v>灵吉菩萨以定风之法降伏黄风怪。</x:v>
      </x:c>
      <x:c r="I30" s="27" t="str">
        <x:v>复杂问题需调用匹配专家资源。</x:v>
      </x:c>
      <x:c r="J30" s="27" t="str">
        <x:v>专家→降伏</x:v>
      </x:c>
      <x:c r="K30" s="27" t="str">
        <x:v>待校核原文</x:v>
      </x:c>
      <x:c r="L30" s="27" t="str">
        <x:v>https://zh.wikisource.org/wiki/西游记/第二十一回</x:v>
      </x:c>
      <x:c r="M30" s="27"/>
      <x:c r="N30" s="27"/>
    </x:row>
    <x:row r="31" ht="26.399999618530273" hidden="0" customHeight="1">
      <x:c r="A31" s="27" t="str">
        <x:v>R030</x:v>
      </x:c>
      <x:c r="B31" s="27" t="str">
        <x:v>猪八戒</x:v>
      </x:c>
      <x:c r="C31" s="27" t="str">
        <x:v>战斗/磨合</x:v>
      </x:c>
      <x:c r="D31" s="27" t="str">
        <x:v>沙悟净</x:v>
      </x:c>
      <x:c r="E31" s="27" t="str">
        <x:v>第22回</x:v>
      </x:c>
      <x:c r="F31" s="27" t="str">
        <x:v>取经团队</x:v>
      </x:c>
      <x:c r="G31" s="27" t="str">
        <x:v>流沙河/取经团队</x:v>
      </x:c>
      <x:c r="H31" s="27" t="str">
        <x:v>八戒与沙悟净在流沙河交战。</x:v>
      </x:c>
      <x:c r="I31" s="27" t="str">
        <x:v>团队成员归队前常先以冲突方式相遇。</x:v>
      </x:c>
      <x:c r="J31" s="27" t="str">
        <x:v>冲突→同伴</x:v>
      </x:c>
      <x:c r="K31" s="27" t="str">
        <x:v>待校核原文</x:v>
      </x:c>
      <x:c r="L31" s="27" t="str">
        <x:v>https://zh.wikisource.org/wiki/西游记/第二十二回</x:v>
      </x:c>
      <x:c r="M31" s="27"/>
      <x:c r="N31" s="27"/>
    </x:row>
    <x:row r="32" ht="26.399999618530273" hidden="0" customHeight="1">
      <x:c r="A32" s="27" t="str">
        <x:v>R031</x:v>
      </x:c>
      <x:c r="B32" s="27" t="str">
        <x:v>木叉</x:v>
      </x:c>
      <x:c r="C32" s="27" t="str">
        <x:v>奉法收伏</x:v>
      </x:c>
      <x:c r="D32" s="27" t="str">
        <x:v>沙悟净</x:v>
      </x:c>
      <x:c r="E32" s="27" t="str">
        <x:v>第22回</x:v>
      </x:c>
      <x:c r="F32" s="27" t="str">
        <x:v>观音系统</x:v>
      </x:c>
      <x:c r="G32" s="27" t="str">
        <x:v>贬谪神将/取经团队</x:v>
      </x:c>
      <x:c r="H32" s="27" t="str">
        <x:v>木叉奉观音法旨收伏沙悟净。</x:v>
      </x:c>
      <x:c r="I32" s="27" t="str">
        <x:v>上级授权完成团队最后拼图。</x:v>
      </x:c>
      <x:c r="J32" s="27" t="str">
        <x:v>授权→归队</x:v>
      </x:c>
      <x:c r="K32" s="27" t="str">
        <x:v>待校核原文</x:v>
      </x:c>
      <x:c r="L32" s="27" t="str">
        <x:v>https://zh.wikisource.org/wiki/西游记/第二十二回</x:v>
      </x:c>
      <x:c r="M32" s="27"/>
      <x:c r="N32" s="27"/>
    </x:row>
    <x:row r="33" ht="26.399999618530273" hidden="0" customHeight="1">
      <x:c r="A33" s="27" t="str">
        <x:v>R032</x:v>
      </x:c>
      <x:c r="B33" s="27" t="str">
        <x:v>唐僧</x:v>
      </x:c>
      <x:c r="C33" s="27" t="str">
        <x:v>师徒/团队完成</x:v>
      </x:c>
      <x:c r="D33" s="27" t="str">
        <x:v>沙悟净</x:v>
      </x:c>
      <x:c r="E33" s="27" t="str">
        <x:v>第22回</x:v>
      </x:c>
      <x:c r="F33" s="27" t="str">
        <x:v>取经团队</x:v>
      </x:c>
      <x:c r="G33" s="27" t="str">
        <x:v>取经团队</x:v>
      </x:c>
      <x:c r="H33" s="27" t="str">
        <x:v>沙悟净拜唐僧为师，取经核心团队基本完成。</x:v>
      </x:c>
      <x:c r="I33" s="27" t="str">
        <x:v>团队角色结构从此稳定。</x:v>
      </x:c>
      <x:c r="J33" s="27" t="str">
        <x:v>师徒</x:v>
      </x:c>
      <x:c r="K33" s="27" t="str">
        <x:v>待校核原文</x:v>
      </x:c>
      <x:c r="L33" s="27" t="str">
        <x:v>https://zh.wikisource.org/wiki/西游记/第二十二回</x:v>
      </x:c>
      <x:c r="M33" s="27"/>
      <x:c r="N33" s="27"/>
    </x:row>
    <x:row r="34" ht="26.399999618530273" hidden="0" customHeight="1">
      <x:c r="A34" s="27" t="str">
        <x:v>R033</x:v>
      </x:c>
      <x:c r="B34" s="27" t="str">
        <x:v>四圣</x:v>
      </x:c>
      <x:c r="C34" s="27" t="str">
        <x:v>设局试炼</x:v>
      </x:c>
      <x:c r="D34" s="27" t="str">
        <x:v>取经团队</x:v>
      </x:c>
      <x:c r="E34" s="27" t="str">
        <x:v>第23回</x:v>
      </x:c>
      <x:c r="F34" s="27" t="str">
        <x:v>灵山/圣者系统</x:v>
      </x:c>
      <x:c r="G34" s="27" t="str">
        <x:v>取经团队</x:v>
      </x:c>
      <x:c r="H34" s="27" t="str">
        <x:v>四圣化作母女测试师徒禅心。</x:v>
      </x:c>
      <x:c r="I34" s="27" t="str">
        <x:v>团队成型后的价值观压力测试。</x:v>
      </x:c>
      <x:c r="J34" s="27" t="str">
        <x:v>试炼→团队</x:v>
      </x:c>
      <x:c r="K34" s="27" t="str">
        <x:v>待校核原文</x:v>
      </x:c>
      <x:c r="L34" s="27" t="str">
        <x:v>https://zh.wikisource.org/wiki/西游记/第二十三回</x:v>
      </x:c>
      <x:c r="M34" s="27"/>
      <x:c r="N34" s="27"/>
    </x:row>
    <x:row r="35" ht="26.399999618530273" hidden="0" customHeight="1">
      <x:c r="A35" s="27" t="str">
        <x:v>R034</x:v>
      </x:c>
      <x:c r="B35" s="27" t="str">
        <x:v>猪八戒</x:v>
      </x:c>
      <x:c r="C35" s="27" t="str">
        <x:v>欲望暴露/受惩</x:v>
      </x:c>
      <x:c r="D35" s="27" t="str">
        <x:v>四圣</x:v>
      </x:c>
      <x:c r="E35" s="27" t="str">
        <x:v>第23回</x:v>
      </x:c>
      <x:c r="F35" s="27" t="str">
        <x:v>取经团队</x:v>
      </x:c>
      <x:c r="G35" s="27" t="str">
        <x:v>灵山/圣者系统</x:v>
      </x:c>
      <x:c r="H35" s="27" t="str">
        <x:v>八戒动招赘之心，被四圣惩戒。</x:v>
      </x:c>
      <x:c r="I35" s="27" t="str">
        <x:v>八戒的人性弱点首次被集中测试。</x:v>
      </x:c>
      <x:c r="J35" s="27" t="str">
        <x:v>成员→试炼</x:v>
      </x:c>
      <x:c r="K35" s="27" t="str">
        <x:v>待校核原文</x:v>
      </x:c>
      <x:c r="L35" s="27" t="str">
        <x:v>https://zh.wikisource.org/wiki/西游记/第二十三回</x:v>
      </x:c>
      <x:c r="M35" s="27"/>
      <x:c r="N35" s="27"/>
    </x:row>
    <x:row r="36" ht="26.399999618530273" hidden="0" customHeight="1">
      <x:c r="A36" s="27" t="str">
        <x:v>R035</x:v>
      </x:c>
      <x:c r="B36" s="27" t="str">
        <x:v>孙悟空</x:v>
      </x:c>
      <x:c r="C36" s="27" t="str">
        <x:v>冲突/破坏</x:v>
      </x:c>
      <x:c r="D36" s="27" t="str">
        <x:v>镇元大仙</x:v>
      </x:c>
      <x:c r="E36" s="27" t="str">
        <x:v>第24—26回</x:v>
      </x:c>
      <x:c r="F36" s="27" t="str">
        <x:v>取经团队</x:v>
      </x:c>
      <x:c r="G36" s="27" t="str">
        <x:v>五庄观系统</x:v>
      </x:c>
      <x:c r="H36" s="27" t="str">
        <x:v>悟空因人参果争执推倒仙树，引发镇元追拿。</x:v>
      </x:c>
      <x:c r="I36" s="27" t="str">
        <x:v>强能力者情绪性破坏引发系统危机。</x:v>
      </x:c>
      <x:c r="J36" s="27" t="str">
        <x:v>冲突→和解</x:v>
      </x:c>
      <x:c r="K36" s="27" t="str">
        <x:v>待校核原文</x:v>
      </x:c>
      <x:c r="L36" s="27" t="str">
        <x:v>https://zh.wikisource.org/wiki/西游记/第二十五回</x:v>
      </x:c>
      <x:c r="M36" s="27"/>
      <x:c r="N36" s="27"/>
    </x:row>
    <x:row r="37" ht="26.399999618530273" hidden="0" customHeight="1">
      <x:c r="A37" s="27" t="str">
        <x:v>R036</x:v>
      </x:c>
      <x:c r="B37" s="27" t="str">
        <x:v>观音</x:v>
      </x:c>
      <x:c r="C37" s="27" t="str">
        <x:v>专业救援/修复</x:v>
      </x:c>
      <x:c r="D37" s="27" t="str">
        <x:v>人参果树</x:v>
      </x:c>
      <x:c r="E37" s="27" t="str">
        <x:v>第26回</x:v>
      </x:c>
      <x:c r="F37" s="27" t="str">
        <x:v>灵山系统</x:v>
      </x:c>
      <x:c r="G37" s="27" t="str">
        <x:v>五庄观资源</x:v>
      </x:c>
      <x:c r="H37" s="27" t="str">
        <x:v>观音以甘露救活人参果树。</x:v>
      </x:c>
      <x:c r="I37" s="27" t="str">
        <x:v>外部专业资源介入完成风险修复。</x:v>
      </x:c>
      <x:c r="J37" s="27" t="str">
        <x:v>外援→修复</x:v>
      </x:c>
      <x:c r="K37" s="27" t="str">
        <x:v>待校核原文</x:v>
      </x:c>
      <x:c r="L37" s="27" t="str">
        <x:v>https://zh.wikisource.org/wiki/西游记/第二十六回</x:v>
      </x:c>
      <x:c r="M37" s="27"/>
      <x:c r="N37" s="27"/>
    </x:row>
    <x:row r="38" ht="26.399999618530273" hidden="0" customHeight="1">
      <x:c r="A38" s="27" t="str">
        <x:v>R037</x:v>
      </x:c>
      <x:c r="B38" s="27" t="str">
        <x:v>唐僧</x:v>
      </x:c>
      <x:c r="C38" s="27" t="str">
        <x:v>误判/逐出</x:v>
      </x:c>
      <x:c r="D38" s="27" t="str">
        <x:v>孙悟空</x:v>
      </x:c>
      <x:c r="E38" s="27" t="str">
        <x:v>第27回</x:v>
      </x:c>
      <x:c r="F38" s="27" t="str">
        <x:v>取经团队</x:v>
      </x:c>
      <x:c r="G38" s="27" t="str">
        <x:v>取经团队</x:v>
      </x:c>
      <x:c r="H38" s="27" t="str">
        <x:v>唐僧不信悟空识妖，写贬书逐走悟空。</x:v>
      </x:c>
      <x:c r="I38" s="27" t="str">
        <x:v>领导者误判关键人才的典型危机。</x:v>
      </x:c>
      <x:c r="J38" s="27" t="str">
        <x:v>领导→核心能力</x:v>
      </x:c>
      <x:c r="K38" s="27" t="str">
        <x:v>待校核原文</x:v>
      </x:c>
      <x:c r="L38" s="27" t="str">
        <x:v>https://zh.wikisource.org/wiki/西游记/第二十七回</x:v>
      </x:c>
      <x:c r="M38" s="27"/>
      <x:c r="N38" s="27"/>
    </x:row>
    <x:row r="39" ht="26.399999618530273" hidden="0" customHeight="1">
      <x:c r="A39" s="27" t="str">
        <x:v>R038</x:v>
      </x:c>
      <x:c r="B39" s="27" t="str">
        <x:v>猪八戒</x:v>
      </x:c>
      <x:c r="C39" s="27" t="str">
        <x:v>挑拨/内部噪声</x:v>
      </x:c>
      <x:c r="D39" s="27" t="str">
        <x:v>唐僧</x:v>
      </x:c>
      <x:c r="E39" s="27" t="str">
        <x:v>第27回</x:v>
      </x:c>
      <x:c r="F39" s="27" t="str">
        <x:v>取经团队</x:v>
      </x:c>
      <x:c r="G39" s="27" t="str">
        <x:v>取经团队</x:v>
      </x:c>
      <x:c r="H39" s="27" t="str">
        <x:v>八戒因私心与认知局限，加重唐僧对悟空的误解。</x:v>
      </x:c>
      <x:c r="I39" s="27" t="str">
        <x:v>组织内部噪声会放大领导误判。</x:v>
      </x:c>
      <x:c r="J39" s="27" t="str">
        <x:v>成员→领导影响</x:v>
      </x:c>
      <x:c r="K39" s="27" t="str">
        <x:v>待校核原文</x:v>
      </x:c>
      <x:c r="L39" s="27" t="str">
        <x:v>https://zh.wikisource.org/wiki/西游记/第二十七回</x:v>
      </x:c>
      <x:c r="M39" s="27"/>
      <x:c r="N39" s="27"/>
    </x:row>
    <x:row r="40" ht="26.399999618530273" hidden="0" customHeight="1">
      <x:c r="A40" s="27" t="str">
        <x:v>R039</x:v>
      </x:c>
      <x:c r="B40" s="27" t="str">
        <x:v>白骨精</x:v>
      </x:c>
      <x:c r="C40" s="27" t="str">
        <x:v>伪装诱骗</x:v>
      </x:c>
      <x:c r="D40" s="27" t="str">
        <x:v>唐僧</x:v>
      </x:c>
      <x:c r="E40" s="27" t="str">
        <x:v>第27回</x:v>
      </x:c>
      <x:c r="F40" s="27" t="str">
        <x:v>白虎岭妖魔</x:v>
      </x:c>
      <x:c r="G40" s="27" t="str">
        <x:v>取经团队</x:v>
      </x:c>
      <x:c r="H40" s="27" t="str">
        <x:v>白骨精三次变化欺骗唐僧。</x:v>
      </x:c>
      <x:c r="I40" s="27" t="str">
        <x:v>表象欺骗与专业识别冲突。</x:v>
      </x:c>
      <x:c r="J40" s="27" t="str">
        <x:v>妖魔→目标</x:v>
      </x:c>
      <x:c r="K40" s="27" t="str">
        <x:v>待校核原文</x:v>
      </x:c>
      <x:c r="L40" s="27" t="str">
        <x:v>https://zh.wikisource.org/wiki/西游记/第二十七回</x:v>
      </x:c>
      <x:c r="M40" s="27"/>
      <x:c r="N40" s="27"/>
    </x:row>
    <x:row r="41" ht="26.399999618530273" hidden="0" customHeight="1">
      <x:c r="A41" s="27" t="str">
        <x:v>R040</x:v>
      </x:c>
      <x:c r="B41" s="27" t="str">
        <x:v>白龙马</x:v>
      </x:c>
      <x:c r="C41" s="27" t="str">
        <x:v>劝谏/推动求援</x:v>
      </x:c>
      <x:c r="D41" s="27" t="str">
        <x:v>猪八戒</x:v>
      </x:c>
      <x:c r="E41" s="27" t="str">
        <x:v>第30回</x:v>
      </x:c>
      <x:c r="F41" s="27" t="str">
        <x:v>取经团队</x:v>
      </x:c>
      <x:c r="G41" s="27" t="str">
        <x:v>取经团队</x:v>
      </x:c>
      <x:c r="H41" s="27" t="str">
        <x:v>白龙马在危急时刻提醒八戒去请悟空。</x:v>
      </x:c>
      <x:c r="I41" s="27" t="str">
        <x:v>沉默承载者也会在关键时刻推动系统修复。</x:v>
      </x:c>
      <x:c r="J41" s="27" t="str">
        <x:v>沉默角色→行动者</x:v>
      </x:c>
      <x:c r="K41" s="27" t="str">
        <x:v>待校核原文</x:v>
      </x:c>
      <x:c r="L41" s="27" t="str">
        <x:v>https://zh.wikisource.org/wiki/西游记/第三十回</x:v>
      </x:c>
      <x:c r="M41" s="27"/>
      <x:c r="N41" s="27"/>
    </x:row>
    <x:row r="42" ht="26.399999618530273" hidden="0" customHeight="1">
      <x:c r="A42" s="27" t="str">
        <x:v>R041</x:v>
      </x:c>
      <x:c r="B42" s="27" t="str">
        <x:v>猪八戒</x:v>
      </x:c>
      <x:c r="C42" s="27" t="str">
        <x:v>义激/请回</x:v>
      </x:c>
      <x:c r="D42" s="27" t="str">
        <x:v>孙悟空</x:v>
      </x:c>
      <x:c r="E42" s="27" t="str">
        <x:v>第31回</x:v>
      </x:c>
      <x:c r="F42" s="27" t="str">
        <x:v>取经团队</x:v>
      </x:c>
      <x:c r="G42" s="27" t="str">
        <x:v>取经团队</x:v>
      </x:c>
      <x:c r="H42" s="27" t="str">
        <x:v>八戒用激将法请回悟空。</x:v>
      </x:c>
      <x:c r="I42" s="27" t="str">
        <x:v>问题制造者也可能成为组织修复者。</x:v>
      </x:c>
      <x:c r="J42" s="27" t="str">
        <x:v>成员→核心能力回归</x:v>
      </x:c>
      <x:c r="K42" s="27" t="str">
        <x:v>待校核原文</x:v>
      </x:c>
      <x:c r="L42" s="27" t="str">
        <x:v>https://zh.wikisource.org/wiki/西游记/第三十一回</x:v>
      </x:c>
      <x:c r="M42" s="27"/>
      <x:c r="N42" s="27"/>
    </x:row>
    <x:row r="43" ht="26.399999618530273" hidden="0" customHeight="1">
      <x:c r="A43" s="27" t="str">
        <x:v>R042</x:v>
      </x:c>
      <x:c r="B43" s="27" t="str">
        <x:v>孙悟空</x:v>
      </x:c>
      <x:c r="C43" s="27" t="str">
        <x:v>智降/处置</x:v>
      </x:c>
      <x:c r="D43" s="27" t="str">
        <x:v>黄袍怪</x:v>
      </x:c>
      <x:c r="E43" s="27" t="str">
        <x:v>第31回</x:v>
      </x:c>
      <x:c r="F43" s="27" t="str">
        <x:v>取经团队</x:v>
      </x:c>
      <x:c r="G43" s="27" t="str">
        <x:v>妖怪/天庭星宿</x:v>
      </x:c>
      <x:c r="H43" s="27" t="str">
        <x:v>悟空识破并降伏黄袍怪。</x:v>
      </x:c>
      <x:c r="I43" s="27" t="str">
        <x:v>核心能力回归后完成问题闭环。</x:v>
      </x:c>
      <x:c r="J43" s="27" t="str">
        <x:v>核心能力→风险处置</x:v>
      </x:c>
      <x:c r="K43" s="27" t="str">
        <x:v>待校核原文</x:v>
      </x:c>
      <x:c r="L43" s="27" t="str">
        <x:v>https://zh.wikisource.org/wiki/西游记/第三十一回</x:v>
      </x:c>
      <x:c r="M43" s="27"/>
      <x:c r="N43" s="27"/>
    </x:row>
    <x:row r="44" ht="26.399999618530273" hidden="0" customHeight="1">
      <x:c r="A44" s="27" t="str">
        <x:v>R043</x:v>
      </x:c>
      <x:c r="B44" s="27" t="str">
        <x:v>黄袍怪/奎木狼</x:v>
      </x:c>
      <x:c r="C44" s="27" t="str">
        <x:v>身份归属</x:v>
      </x:c>
      <x:c r="D44" s="27" t="str">
        <x:v>天庭星宿系统</x:v>
      </x:c>
      <x:c r="E44" s="27" t="str">
        <x:v>第31回</x:v>
      </x:c>
      <x:c r="F44" s="27" t="str">
        <x:v>妖怪外显</x:v>
      </x:c>
      <x:c r="G44" s="27" t="str">
        <x:v>天庭系统</x:v>
      </x:c>
      <x:c r="H44" s="27" t="str">
        <x:v>黄袍怪实为奎木狼下凡，后被天庭收回。</x:v>
      </x:c>
      <x:c r="I44" s="27" t="str">
        <x:v>有后台妖怪与制度外溢风险。</x:v>
      </x:c>
      <x:c r="J44" s="27" t="str">
        <x:v>后台→妖怪</x:v>
      </x:c>
      <x:c r="K44" s="27" t="str">
        <x:v>待校核原文</x:v>
      </x:c>
      <x:c r="L44" s="27" t="str">
        <x:v>https://zh.wikisource.org/wiki/西游记/第三十一回</x:v>
      </x:c>
      <x:c r="M44" s="27"/>
      <x:c r="N44" s="27"/>
    </x:row>
    <x:row r="45" ht="26.399999618530273" hidden="0" customHeight="1">
      <x:c r="A45" s="27" t="str">
        <x:v>R044</x:v>
      </x:c>
      <x:c r="B45" s="27" t="str">
        <x:v>功曹</x:v>
      </x:c>
      <x:c r="C45" s="27" t="str">
        <x:v>预警/传信</x:v>
      </x:c>
      <x:c r="D45" s="27" t="str">
        <x:v>孙悟空</x:v>
      </x:c>
      <x:c r="E45" s="27" t="str">
        <x:v>第32回</x:v>
      </x:c>
      <x:c r="F45" s="27" t="str">
        <x:v>护法/天界辅助</x:v>
      </x:c>
      <x:c r="G45" s="27" t="str">
        <x:v>取经团队</x:v>
      </x:c>
      <x:c r="H45" s="27" t="str">
        <x:v>功曹向悟空传递前方平顶山妖怪风险信息。</x:v>
      </x:c>
      <x:c r="I45" s="27" t="str">
        <x:v>取经工程具有暗线护法与风险预警机制。</x:v>
      </x:c>
      <x:c r="J45" s="27" t="str">
        <x:v>预警→执行</x:v>
      </x:c>
      <x:c r="K45" s="27" t="str">
        <x:v>待校核原文</x:v>
      </x:c>
      <x:c r="L45" s="27" t="str">
        <x:v>https://zh.wikisource.org/wiki/西游记/第三十二回</x:v>
      </x:c>
      <x:c r="M45" s="27"/>
      <x:c r="N45" s="27"/>
    </x:row>
    <x:row r="46" ht="26.399999618530273" hidden="0" customHeight="1">
      <x:c r="A46" s="27" t="str">
        <x:v>R045</x:v>
      </x:c>
      <x:c r="B46" s="27" t="str">
        <x:v>金角大王</x:v>
      </x:c>
      <x:c r="C46" s="27" t="str">
        <x:v>同伙/协同</x:v>
      </x:c>
      <x:c r="D46" s="27" t="str">
        <x:v>银角大王</x:v>
      </x:c>
      <x:c r="E46" s="27" t="str">
        <x:v>第32—35回</x:v>
      </x:c>
      <x:c r="F46" s="27" t="str">
        <x:v>莲花洞妖怪</x:v>
      </x:c>
      <x:c r="G46" s="27" t="str">
        <x:v>莲花洞妖怪</x:v>
      </x:c>
      <x:c r="H46" s="27" t="str">
        <x:v>二怪共同设局，分工使用法宝与计谋。</x:v>
      </x:c>
      <x:c r="I46" s="27" t="str">
        <x:v>妖怪也有组织协同和资源配置。</x:v>
      </x:c>
      <x:c r="J46" s="27" t="str">
        <x:v>妖怪内部协同</x:v>
      </x:c>
      <x:c r="K46" s="27" t="str">
        <x:v>待校核原文</x:v>
      </x:c>
      <x:c r="L46" s="27" t="str">
        <x:v>https://zh.wikisource.org/wiki/西游记/第三十二回</x:v>
      </x:c>
      <x:c r="M46" s="27"/>
      <x:c r="N46" s="27"/>
    </x:row>
    <x:row r="47" ht="26.399999618530273" hidden="0" customHeight="1">
      <x:c r="A47" s="27" t="str">
        <x:v>R046</x:v>
      </x:c>
      <x:c r="B47" s="27" t="str">
        <x:v>金角大王/银角大王</x:v>
      </x:c>
      <x:c r="C47" s="27" t="str">
        <x:v>擒拿/设局</x:v>
      </x:c>
      <x:c r="D47" s="27" t="str">
        <x:v>唐僧师徒</x:v>
      </x:c>
      <x:c r="E47" s="27" t="str">
        <x:v>第32—35回</x:v>
      </x:c>
      <x:c r="F47" s="27" t="str">
        <x:v>莲花洞妖怪</x:v>
      </x:c>
      <x:c r="G47" s="27" t="str">
        <x:v>取经团队</x:v>
      </x:c>
      <x:c r="H47" s="27" t="str">
        <x:v>二怪以法宝、变化和名号规则困扰师徒。</x:v>
      </x:c>
      <x:c r="I47" s="27" t="str">
        <x:v>由物理攻击转入规则型、工具型风险。</x:v>
      </x:c>
      <x:c r="J47" s="27" t="str">
        <x:v>妖怪→团队风险</x:v>
      </x:c>
      <x:c r="K47" s="27" t="str">
        <x:v>待校核原文</x:v>
      </x:c>
      <x:c r="L47" s="27" t="str">
        <x:v>https://zh.wikisource.org/wiki/西游记/第三十三回</x:v>
      </x:c>
      <x:c r="M47" s="27"/>
      <x:c r="N47" s="27"/>
    </x:row>
    <x:row r="48" ht="26.399999618530273" hidden="0" customHeight="1">
      <x:c r="A48" s="27" t="str">
        <x:v>R047</x:v>
      </x:c>
      <x:c r="B48" s="27" t="str">
        <x:v>孙悟空</x:v>
      </x:c>
      <x:c r="C48" s="27" t="str">
        <x:v>骗宝/反制</x:v>
      </x:c>
      <x:c r="D48" s="27" t="str">
        <x:v>精细鬼、伶俐虫</x:v>
      </x:c>
      <x:c r="E48" s="27" t="str">
        <x:v>第34回</x:v>
      </x:c>
      <x:c r="F48" s="27" t="str">
        <x:v>取经团队</x:v>
      </x:c>
      <x:c r="G48" s="27" t="str">
        <x:v>莲花洞小妖</x:v>
      </x:c>
      <x:c r="H48" s="27" t="str">
        <x:v>悟空通过机变骗取小妖携带的宝贝。</x:v>
      </x:c>
      <x:c r="I48" s="27" t="str">
        <x:v>风险处置从硬打转为识别授权链和资源流转。</x:v>
      </x:c>
      <x:c r="J48" s="27" t="str">
        <x:v>核心能力→基层执行层</x:v>
      </x:c>
      <x:c r="K48" s="27" t="str">
        <x:v>待校核原文</x:v>
      </x:c>
      <x:c r="L48" s="27" t="str">
        <x:v>https://zh.wikisource.org/wiki/西游记/第三十四回</x:v>
      </x:c>
      <x:c r="M48" s="27"/>
      <x:c r="N48" s="27"/>
    </x:row>
    <x:row r="49" ht="26.399999618530273" hidden="0" customHeight="1">
      <x:c r="A49" s="27" t="str">
        <x:v>R048</x:v>
      </x:c>
      <x:c r="B49" s="27" t="str">
        <x:v>孙悟空</x:v>
      </x:c>
      <x:c r="C49" s="27" t="str">
        <x:v>获宝/降伏</x:v>
      </x:c>
      <x:c r="D49" s="27" t="str">
        <x:v>金角大王、银角大王</x:v>
      </x:c>
      <x:c r="E49" s="27" t="str">
        <x:v>第34—35回</x:v>
      </x:c>
      <x:c r="F49" s="27" t="str">
        <x:v>取经团队</x:v>
      </x:c>
      <x:c r="G49" s="27" t="str">
        <x:v>莲花洞妖怪</x:v>
      </x:c>
      <x:c r="H49" s="27" t="str">
        <x:v>悟空掌握对方法宝规则后反制并降伏二怪。</x:v>
      </x:c>
      <x:c r="I49" s="27" t="str">
        <x:v>理解规则后才能反向使用规则。</x:v>
      </x:c>
      <x:c r="J49" s="27" t="str">
        <x:v>核心能力→风险闭环</x:v>
      </x:c>
      <x:c r="K49" s="27" t="str">
        <x:v>待校核原文</x:v>
      </x:c>
      <x:c r="L49" s="27" t="str">
        <x:v>https://zh.wikisource.org/wiki/西游记/第三十五回</x:v>
      </x:c>
      <x:c r="M49" s="27"/>
      <x:c r="N49" s="27"/>
    </x:row>
    <x:row r="50" ht="26.399999618530273" hidden="0" customHeight="1">
      <x:c r="A50" s="27" t="str">
        <x:v>R049</x:v>
      </x:c>
      <x:c r="B50" s="27" t="str">
        <x:v>金角大王、银角大王</x:v>
      </x:c>
      <x:c r="C50" s="27" t="str">
        <x:v>后台/归属</x:v>
      </x:c>
      <x:c r="D50" s="27" t="str">
        <x:v>太上老君</x:v>
      </x:c>
      <x:c r="E50" s="27" t="str">
        <x:v>第35回</x:v>
      </x:c>
      <x:c r="F50" s="27" t="str">
        <x:v>妖怪外显</x:v>
      </x:c>
      <x:c r="G50" s="27" t="str">
        <x:v>道教仙府系统</x:v>
      </x:c>
      <x:c r="H50" s="27" t="str">
        <x:v>二怪最终被揭示为太上老君看炉童子。</x:v>
      </x:c>
      <x:c r="I50" s="27" t="str">
        <x:v>有后台妖怪的典型案例，体现制度资源外溢。</x:v>
      </x:c>
      <x:c r="J50" s="27" t="str">
        <x:v>后台→妖怪</x:v>
      </x:c>
      <x:c r="K50" s="27" t="str">
        <x:v>待校核原文</x:v>
      </x:c>
      <x:c r="L50" s="27" t="str">
        <x:v>https://zh.wikisource.org/wiki/西游记/第三十五回</x:v>
      </x:c>
      <x:c r="M50" s="27"/>
      <x:c r="N50" s="27"/>
    </x:row>
    <x:row r="51" ht="26.399999618530273" hidden="0" customHeight="1">
      <x:c r="A51" s="27" t="str">
        <x:v>R050</x:v>
      </x:c>
      <x:c r="B51" s="27" t="str">
        <x:v>太上老君</x:v>
      </x:c>
      <x:c r="C51" s="27" t="str">
        <x:v>收回/责任归位</x:v>
      </x:c>
      <x:c r="D51" s="27" t="str">
        <x:v>法宝与童子</x:v>
      </x:c>
      <x:c r="E51" s="27" t="str">
        <x:v>第35回</x:v>
      </x:c>
      <x:c r="F51" s="27" t="str">
        <x:v>道教仙府系统</x:v>
      </x:c>
      <x:c r="G51" s="27" t="str">
        <x:v>莲花洞风险对象</x:v>
      </x:c>
      <x:c r="H51" s="27" t="str">
        <x:v>太上老君收束童子和法宝，使事件闭环。</x:v>
      </x:c>
      <x:c r="I51" s="27" t="str">
        <x:v>个案解决依赖后台责任人介入，提示源头管理重要。</x:v>
      </x:c>
      <x:c r="J51" s="27" t="str">
        <x:v>上级→资源回收</x:v>
      </x:c>
      <x:c r="K51" s="27" t="str">
        <x:v>待校核原文</x:v>
      </x:c>
      <x:c r="L51" s="27" t="str">
        <x:v>https://zh.wikisource.org/wiki/西游记/第三十五回</x:v>
      </x:c>
      <x:c r="M51" s="27"/>
      <x:c r="N51" s="27"/>
    </x:row>
    <x:row r="52" ht="52.79999923706055" hidden="0" customHeight="1">
      <x:c r="A52" s="27" t="str">
        <x:v>R050</x:v>
      </x:c>
      <x:c r="B52" s="27" t="str">
        <x:v>乌鸡国真王</x:v>
      </x:c>
      <x:c r="C52" s="27" t="str">
        <x:v>托梦申冤</x:v>
      </x:c>
      <x:c r="D52" s="27" t="str">
        <x:v>唐僧</x:v>
      </x:c>
      <x:c r="E52" s="27" t="str">
        <x:v>第36—37回</x:v>
      </x:c>
      <x:c r="F52" s="27" t="str">
        <x:v>人间王权系统</x:v>
      </x:c>
      <x:c r="G52" s="27" t="str">
        <x:v>取经团队</x:v>
      </x:c>
      <x:c r="H52" s="27" t="str">
        <x:v>真王鬼魂向唐僧申诉被害经过，请求昭雪。</x:v>
      </x:c>
      <x:c r="I52" s="27" t="str">
        <x:v>取经团队介入人间政治冤案的起点。</x:v>
      </x:c>
      <x:c r="J52" s="27" t="str">
        <x:v>诉求→受理</x:v>
      </x:c>
      <x:c r="K52" s="27" t="str">
        <x:v>待校核原文</x:v>
      </x:c>
      <x:c r="L52" s="27" t="str">
        <x:v>https://zh.wikisource.org/wiki/西游记/%E7%AC%AC%E4%B8%89%E5%8D%81%E5%85%AD%E5%9B%9E</x:v>
      </x:c>
      <x:c r="M52" s="27"/>
      <x:c r="N52" s="27"/>
    </x:row>
    <x:row r="53" ht="52.79999923706055" hidden="0" customHeight="1">
      <x:c r="A53" s="27" t="str">
        <x:v>R051</x:v>
      </x:c>
      <x:c r="B53" s="27" t="str">
        <x:v>孙悟空</x:v>
      </x:c>
      <x:c r="C53" s="27" t="str">
        <x:v>调查引导</x:v>
      </x:c>
      <x:c r="D53" s="27" t="str">
        <x:v>乌鸡国太子</x:v>
      </x:c>
      <x:c r="E53" s="27" t="str">
        <x:v>第37回</x:v>
      </x:c>
      <x:c r="F53" s="27" t="str">
        <x:v>取经团队</x:v>
      </x:c>
      <x:c r="G53" s="27" t="str">
        <x:v>人间王权系统</x:v>
      </x:c>
      <x:c r="H53" s="27" t="str">
        <x:v>悟空引导太子接触真相线索。</x:v>
      </x:c>
      <x:c r="I53" s="27" t="str">
        <x:v>关键相关方访谈与证据链启动。</x:v>
      </x:c>
      <x:c r="J53" s="27" t="str">
        <x:v>调查→证人</x:v>
      </x:c>
      <x:c r="K53" s="27" t="str">
        <x:v>待校核原文</x:v>
      </x:c>
      <x:c r="L53" s="27" t="str">
        <x:v>https://zh.wikisource.org/wiki/西游记/%E7%AC%AC%E4%B8%89%E5%8D%81%E4%B8%83%E5%9B%9E</x:v>
      </x:c>
      <x:c r="M53" s="27"/>
      <x:c r="N53" s="27"/>
    </x:row>
    <x:row r="54" ht="52.79999923706055" hidden="0" customHeight="1">
      <x:c r="A54" s="27" t="str">
        <x:v>R052</x:v>
      </x:c>
      <x:c r="B54" s="27" t="str">
        <x:v>乌鸡国太子</x:v>
      </x:c>
      <x:c r="C54" s="27" t="str">
        <x:v>问询/核验</x:v>
      </x:c>
      <x:c r="D54" s="27" t="str">
        <x:v>乌鸡国王后</x:v>
      </x:c>
      <x:c r="E54" s="27" t="str">
        <x:v>第38回</x:v>
      </x:c>
      <x:c r="F54" s="27" t="str">
        <x:v>人间王权系统</x:v>
      </x:c>
      <x:c r="G54" s="27" t="str">
        <x:v>人间王权系统</x:v>
      </x:c>
      <x:c r="H54" s="27" t="str">
        <x:v>太子向母后询问，获得真假王权的重要线索。</x:v>
      </x:c>
      <x:c r="I54" s="27" t="str">
        <x:v>内部证人核验，突破表象合法性。</x:v>
      </x:c>
      <x:c r="J54" s="27" t="str">
        <x:v>证人→证人</x:v>
      </x:c>
      <x:c r="K54" s="27" t="str">
        <x:v>待校核原文</x:v>
      </x:c>
      <x:c r="L54" s="27" t="str">
        <x:v>https://zh.wikisource.org/wiki/西游记/%E7%AC%AC%E4%B8%89%E5%8D%81%E5%85%AB%E5%9B%9E</x:v>
      </x:c>
      <x:c r="M54" s="27"/>
      <x:c r="N54" s="27"/>
    </x:row>
    <x:row r="55" ht="52.79999923706055" hidden="0" customHeight="1">
      <x:c r="A55" s="27" t="str">
        <x:v>R053</x:v>
      </x:c>
      <x:c r="B55" s="27" t="str">
        <x:v>猪八戒</x:v>
      </x:c>
      <x:c r="C55" s="27" t="str">
        <x:v>现场取证</x:v>
      </x:c>
      <x:c r="D55" s="27" t="str">
        <x:v>井中尸身</x:v>
      </x:c>
      <x:c r="E55" s="27" t="str">
        <x:v>第38回</x:v>
      </x:c>
      <x:c r="F55" s="27" t="str">
        <x:v>取经团队</x:v>
      </x:c>
      <x:c r="G55" s="27" t="str">
        <x:v>证据对象</x:v>
      </x:c>
      <x:c r="H55" s="27" t="str">
        <x:v>八戒下井背出国王尸身。</x:v>
      </x:c>
      <x:c r="I55" s="27" t="str">
        <x:v>现场核验与证据取得，不可只靠判断。</x:v>
      </x:c>
      <x:c r="J55" s="27" t="str">
        <x:v>执行→证据</x:v>
      </x:c>
      <x:c r="K55" s="27" t="str">
        <x:v>待校核原文</x:v>
      </x:c>
      <x:c r="L55" s="27" t="str">
        <x:v>https://zh.wikisource.org/wiki/西游记/%E7%AC%AC%E4%B8%89%E5%8D%81%E5%85%AB%E5%9B%9E</x:v>
      </x:c>
      <x:c r="M55" s="27"/>
      <x:c r="N55" s="27"/>
    </x:row>
    <x:row r="56" ht="52.79999923706055" hidden="0" customHeight="1">
      <x:c r="A56" s="27" t="str">
        <x:v>R054</x:v>
      </x:c>
      <x:c r="B56" s="27" t="str">
        <x:v>井龙王</x:v>
      </x:c>
      <x:c r="C56" s="27" t="str">
        <x:v>保全/交付证据</x:v>
      </x:c>
      <x:c r="D56" s="27" t="str">
        <x:v>乌鸡国真王尸身</x:v>
      </x:c>
      <x:c r="E56" s="27" t="str">
        <x:v>第38回</x:v>
      </x:c>
      <x:c r="F56" s="27" t="str">
        <x:v>地方神祇系统</x:v>
      </x:c>
      <x:c r="G56" s="27" t="str">
        <x:v>证据对象</x:v>
      </x:c>
      <x:c r="H56" s="27" t="str">
        <x:v>井龙王保存真王尸身，成为冤案昭雪的关键证据。</x:v>
      </x:c>
      <x:c r="I56" s="27" t="str">
        <x:v>隐蔽场景中的证据保全机制。</x:v>
      </x:c>
      <x:c r="J56" s="27" t="str">
        <x:v>保全→证据</x:v>
      </x:c>
      <x:c r="K56" s="27" t="str">
        <x:v>待校核原文</x:v>
      </x:c>
      <x:c r="L56" s="27" t="str">
        <x:v>https://zh.wikisource.org/wiki/西游记/%E7%AC%AC%E4%B8%89%E5%8D%81%E5%85%AB%E5%9B%9E</x:v>
      </x:c>
      <x:c r="M56" s="27"/>
      <x:c r="N56" s="27"/>
    </x:row>
    <x:row r="57" ht="52.79999923706055" hidden="0" customHeight="1">
      <x:c r="A57" s="27" t="str">
        <x:v>R055</x:v>
      </x:c>
      <x:c r="B57" s="27" t="str">
        <x:v>孙悟空</x:v>
      </x:c>
      <x:c r="C57" s="27" t="str">
        <x:v>求取金丹</x:v>
      </x:c>
      <x:c r="D57" s="27" t="str">
        <x:v>太上老君</x:v>
      </x:c>
      <x:c r="E57" s="27" t="str">
        <x:v>第39回</x:v>
      </x:c>
      <x:c r="F57" s="27" t="str">
        <x:v>取经团队</x:v>
      </x:c>
      <x:c r="G57" s="27" t="str">
        <x:v>道教天庭系统</x:v>
      </x:c>
      <x:c r="H57" s="27" t="str">
        <x:v>悟空上天求得金丹，用于救活真王。</x:v>
      </x:c>
      <x:c r="I57" s="27" t="str">
        <x:v>高层资源介入，完成纠偏复位。</x:v>
      </x:c>
      <x:c r="J57" s="27" t="str">
        <x:v>求援→资源</x:v>
      </x:c>
      <x:c r="K57" s="27" t="str">
        <x:v>待校核原文</x:v>
      </x:c>
      <x:c r="L57" s="27" t="str">
        <x:v>https://zh.wikisource.org/wiki/西游记/%E7%AC%AC%E4%B8%89%E5%8D%81%E4%B9%9D%E5%9B%9E</x:v>
      </x:c>
      <x:c r="M57" s="27"/>
      <x:c r="N57" s="27"/>
    </x:row>
    <x:row r="58" ht="52.79999923706055" hidden="0" customHeight="1">
      <x:c r="A58" s="27" t="str">
        <x:v>R056</x:v>
      </x:c>
      <x:c r="B58" s="27" t="str">
        <x:v>假王/青毛狮子</x:v>
      </x:c>
      <x:c r="C58" s="27" t="str">
        <x:v>后台归属</x:v>
      </x:c>
      <x:c r="D58" s="27" t="str">
        <x:v>文殊菩萨</x:v>
      </x:c>
      <x:c r="E58" s="27" t="str">
        <x:v>第39回</x:v>
      </x:c>
      <x:c r="F58" s="27" t="str">
        <x:v>妖怪/坐骑</x:v>
      </x:c>
      <x:c r="G58" s="27" t="str">
        <x:v>灵山系统</x:v>
      </x:c>
      <x:c r="H58" s="27" t="str">
        <x:v>假王原为文殊菩萨坐骑青毛狮子，最终被文殊收回。</x:v>
      </x:c>
      <x:c r="I58" s="27" t="str">
        <x:v>有后台妖怪案例，体现神佛系统资源外溢。</x:v>
      </x:c>
      <x:c r="J58" s="27" t="str">
        <x:v>坐骑→后台</x:v>
      </x:c>
      <x:c r="K58" s="27" t="str">
        <x:v>待校核原文</x:v>
      </x:c>
      <x:c r="L58" s="27" t="str">
        <x:v>https://zh.wikisource.org/wiki/西游记/%E7%AC%AC%E4%B8%89%E5%8D%81%E4%B9%9D%E5%9B%9E</x:v>
      </x:c>
      <x:c r="M58" s="27"/>
      <x:c r="N58" s="27"/>
    </x:row>
    <x:row r="59" ht="52.79999923706055" hidden="0" customHeight="1">
      <x:c r="A59" s="27" t="str">
        <x:v>R057</x:v>
      </x:c>
      <x:c r="B59" s="27" t="str">
        <x:v>乌鸡国真王</x:v>
      </x:c>
      <x:c r="C59" s="27" t="str">
        <x:v>复位/合法性恢复</x:v>
      </x:c>
      <x:c r="D59" s="27" t="str">
        <x:v>乌鸡国</x:v>
      </x:c>
      <x:c r="E59" s="27" t="str">
        <x:v>第39回</x:v>
      </x:c>
      <x:c r="F59" s="27" t="str">
        <x:v>人间王权系统</x:v>
      </x:c>
      <x:c r="G59" s="27" t="str">
        <x:v>人间王国</x:v>
      </x:c>
      <x:c r="H59" s="27" t="str">
        <x:v>真王还魂后恢复国王身份。</x:v>
      </x:c>
      <x:c r="I59" s="27" t="str">
        <x:v>查明事实后仍需完成制度复位。</x:v>
      </x:c>
      <x:c r="J59" s="27" t="str">
        <x:v>主体→制度</x:v>
      </x:c>
      <x:c r="K59" s="27" t="str">
        <x:v>待校核原文</x:v>
      </x:c>
      <x:c r="L59" s="27" t="str">
        <x:v>https://zh.wikisource.org/wiki/西游记/%E7%AC%AC%E4%B8%89%E5%8D%81%E4%B9%9D%E5%9B%9E</x:v>
      </x:c>
      <x:c r="M59" s="27"/>
      <x:c r="N59" s="27"/>
    </x:row>
    <x:row r="60" ht="26.399999618530273" hidden="0" customHeight="1">
      <x:c r="A60" s="27" t="str">
        <x:v>R059</x:v>
      </x:c>
      <x:c r="B60" s="27" t="str">
        <x:v>红孩儿</x:v>
      </x:c>
      <x:c r="C60" s="27" t="str">
        <x:v>父子/家族来源</x:v>
      </x:c>
      <x:c r="D60" s="27" t="str">
        <x:v>牛魔王</x:v>
      </x:c>
      <x:c r="E60" s="27" t="str">
        <x:v>第40—42回</x:v>
      </x:c>
      <x:c r="F60" s="27" t="str">
        <x:v>火云洞/妖族家族</x:v>
      </x:c>
      <x:c r="G60" s="27" t="str">
        <x:v>牛魔王家族</x:v>
      </x:c>
      <x:c r="H60" s="27" t="str">
        <x:v>红孩儿以牛魔王之子身份形成天然后台。</x:v>
      </x:c>
      <x:c r="I60" s="27" t="str">
        <x:v>家族势力对个体风险的放大。</x:v>
      </x:c>
      <x:c r="J60" s="27" t="str">
        <x:v>家族关系</x:v>
      </x:c>
      <x:c r="K60" s="27" t="str">
        <x:v>待校核原文</x:v>
      </x:c>
      <x:c r="L60" s="27" t="str">
        <x:v>https://zh.wikisource.org/wiki/西游记/第四十回</x:v>
      </x:c>
      <x:c r="M60" s="27"/>
      <x:c r="N60" s="27"/>
    </x:row>
    <x:row r="61" ht="26.399999618530273" hidden="0" customHeight="1">
      <x:c r="A61" s="27" t="str">
        <x:v>R060</x:v>
      </x:c>
      <x:c r="B61" s="27" t="str">
        <x:v>红孩儿</x:v>
      </x:c>
      <x:c r="C61" s="27" t="str">
        <x:v>母子/资源伏笔</x:v>
      </x:c>
      <x:c r="D61" s="27" t="str">
        <x:v>铁扇公主</x:v>
      </x:c>
      <x:c r="E61" s="27" t="str">
        <x:v>第40—42回</x:v>
      </x:c>
      <x:c r="F61" s="27" t="str">
        <x:v>火云洞/妖族家族</x:v>
      </x:c>
      <x:c r="G61" s="27" t="str">
        <x:v>牛魔王家族</x:v>
      </x:c>
      <x:c r="H61" s="27" t="str">
        <x:v>铁扇公主作为红孩儿之母，为后续火焰山段埋伏笔。</x:v>
      </x:c>
      <x:c r="I61" s="27" t="str">
        <x:v>人物网络跨段延展。</x:v>
      </x:c>
      <x:c r="J61" s="27" t="str">
        <x:v>家族关系/后续伏笔</x:v>
      </x:c>
      <x:c r="K61" s="27" t="str">
        <x:v>待校核原文</x:v>
      </x:c>
      <x:c r="L61" s="27" t="str">
        <x:v>https://zh.wikisource.org/wiki/西游记/第四十回</x:v>
      </x:c>
      <x:c r="M61" s="27"/>
      <x:c r="N61" s="27"/>
    </x:row>
    <x:row r="62" ht="26.399999618530273" hidden="0" customHeight="1">
      <x:c r="A62" s="27" t="str">
        <x:v>R061</x:v>
      </x:c>
      <x:c r="B62" s="27" t="str">
        <x:v>红孩儿</x:v>
      </x:c>
      <x:c r="C62" s="27" t="str">
        <x:v>伪装/诱捕</x:v>
      </x:c>
      <x:c r="D62" s="27" t="str">
        <x:v>猪八戒</x:v>
      </x:c>
      <x:c r="E62" s="27" t="str">
        <x:v>第41回</x:v>
      </x:c>
      <x:c r="F62" s="27" t="str">
        <x:v>火云洞</x:v>
      </x:c>
      <x:c r="G62" s="27" t="str">
        <x:v>取经团队</x:v>
      </x:c>
      <x:c r="H62" s="27" t="str">
        <x:v>红孩儿假扮观音诱擒八戒。</x:v>
      </x:c>
      <x:c r="I62" s="27" t="str">
        <x:v>假权威比强攻更能破坏组织协同。</x:v>
      </x:c>
      <x:c r="J62" s="27" t="str">
        <x:v>欺骗→擒获</x:v>
      </x:c>
      <x:c r="K62" s="27" t="str">
        <x:v>待校核原文</x:v>
      </x:c>
      <x:c r="L62" s="27" t="str">
        <x:v>https://zh.wikisource.org/wiki/西游记/第四十一回</x:v>
      </x:c>
      <x:c r="M62" s="27"/>
      <x:c r="N62" s="27"/>
    </x:row>
    <x:row r="63" ht="26.399999618530273" hidden="0" customHeight="1">
      <x:c r="A63" s="27" t="str">
        <x:v>R062</x:v>
      </x:c>
      <x:c r="B63" s="27" t="str">
        <x:v>孙悟空</x:v>
      </x:c>
      <x:c r="C63" s="27" t="str">
        <x:v>求援/授权救助</x:v>
      </x:c>
      <x:c r="D63" s="27" t="str">
        <x:v>观音</x:v>
      </x:c>
      <x:c r="E63" s="27" t="str">
        <x:v>第42回</x:v>
      </x:c>
      <x:c r="F63" s="27" t="str">
        <x:v>取经团队</x:v>
      </x:c>
      <x:c r="G63" s="27" t="str">
        <x:v>灵山系统</x:v>
      </x:c>
      <x:c r="H63" s="27" t="str">
        <x:v>悟空请观音降伏红孩儿。</x:v>
      </x:c>
      <x:c r="I63" s="27" t="str">
        <x:v>超出能力边界时的外部救援机制。</x:v>
      </x:c>
      <x:c r="J63" s="27" t="str">
        <x:v>求援→收束</x:v>
      </x:c>
      <x:c r="K63" s="27" t="str">
        <x:v>待校核原文</x:v>
      </x:c>
      <x:c r="L63" s="27" t="str">
        <x:v>https://zh.wikisource.org/wiki/西游记/第四十二回</x:v>
      </x:c>
      <x:c r="M63" s="27"/>
      <x:c r="N63" s="27"/>
    </x:row>
    <x:row r="64" ht="26.399999618530273" hidden="0" customHeight="1">
      <x:c r="A64" s="27" t="str">
        <x:v>R063</x:v>
      </x:c>
      <x:c r="B64" s="27" t="str">
        <x:v>观音</x:v>
      </x:c>
      <x:c r="C64" s="27" t="str">
        <x:v>收编/转化</x:v>
      </x:c>
      <x:c r="D64" s="27" t="str">
        <x:v>红孩儿</x:v>
      </x:c>
      <x:c r="E64" s="27" t="str">
        <x:v>第42回</x:v>
      </x:c>
      <x:c r="F64" s="27" t="str">
        <x:v>灵山系统</x:v>
      </x:c>
      <x:c r="G64" s="27" t="str">
        <x:v>火云洞</x:v>
      </x:c>
      <x:c r="H64" s="27" t="str">
        <x:v>观音降伏红孩儿并收为善财童子。</x:v>
      </x:c>
      <x:c r="I64" s="27" t="str">
        <x:v>把失控能力转化为制度内护法资源。</x:v>
      </x:c>
      <x:c r="J64" s="27" t="str">
        <x:v>收编→转化</x:v>
      </x:c>
      <x:c r="K64" s="27" t="str">
        <x:v>待校核原文</x:v>
      </x:c>
      <x:c r="L64" s="27" t="str">
        <x:v>https://zh.wikisource.org/wiki/西游记/第四十二回</x:v>
      </x:c>
      <x:c r="M64" s="27"/>
      <x:c r="N64" s="27"/>
    </x:row>
    <x:row r="65" ht="26.399999618530273" hidden="0" customHeight="1">
      <x:c r="A65" s="27" t="str">
        <x:v>R064</x:v>
      </x:c>
      <x:c r="B65" s="27" t="str">
        <x:v>鼍龙</x:v>
      </x:c>
      <x:c r="C65" s="27" t="str">
        <x:v>亲属/后台</x:v>
      </x:c>
      <x:c r="D65" s="27" t="str">
        <x:v>西海龙王</x:v>
      </x:c>
      <x:c r="E65" s="27" t="str">
        <x:v>第43回</x:v>
      </x:c>
      <x:c r="F65" s="27" t="str">
        <x:v>黑水河</x:v>
      </x:c>
      <x:c r="G65" s="27" t="str">
        <x:v>西海龙宫</x:v>
      </x:c>
      <x:c r="H65" s="27" t="str">
        <x:v>鼍龙与西海龙宫存在亲属系统关系。</x:v>
      </x:c>
      <x:c r="I65" s="27" t="str">
        <x:v>后台亲属失管型风险。</x:v>
      </x:c>
      <x:c r="J65" s="27" t="str">
        <x:v>亲属后台</x:v>
      </x:c>
      <x:c r="K65" s="27" t="str">
        <x:v>待校核原文</x:v>
      </x:c>
      <x:c r="L65" s="27" t="str">
        <x:v>https://zh.wikisource.org/wiki/西游记/第四十三回</x:v>
      </x:c>
      <x:c r="M65" s="27"/>
      <x:c r="N65" s="27"/>
    </x:row>
    <x:row r="66" ht="26.399999618530273" hidden="0" customHeight="1">
      <x:c r="A66" s="27" t="str">
        <x:v>R065</x:v>
      </x:c>
      <x:c r="B66" s="27" t="str">
        <x:v>摩昂太子</x:v>
      </x:c>
      <x:c r="C66" s="27" t="str">
        <x:v>收束/执行</x:v>
      </x:c>
      <x:c r="D66" s="27" t="str">
        <x:v>鼍龙</x:v>
      </x:c>
      <x:c r="E66" s="27" t="str">
        <x:v>第43回</x:v>
      </x:c>
      <x:c r="F66" s="27" t="str">
        <x:v>西海龙宫</x:v>
      </x:c>
      <x:c r="G66" s="27" t="str">
        <x:v>黑水河</x:v>
      </x:c>
      <x:c r="H66" s="27" t="str">
        <x:v>摩昂太子奉命捉回鼍龙。</x:v>
      </x:c>
      <x:c r="I66" s="27" t="str">
        <x:v>后台系统内部问责。</x:v>
      </x:c>
      <x:c r="J66" s="27" t="str">
        <x:v>执行→收回</x:v>
      </x:c>
      <x:c r="K66" s="27" t="str">
        <x:v>待校核原文</x:v>
      </x:c>
      <x:c r="L66" s="27" t="str">
        <x:v>https://zh.wikisource.org/wiki/西游记/第四十三回</x:v>
      </x:c>
      <x:c r="M66" s="27"/>
      <x:c r="N66" s="27"/>
    </x:row>
    <x:row r="67" ht="26.399999618530273" hidden="0" customHeight="1">
      <x:c r="A67" s="27" t="str">
        <x:v>R066</x:v>
      </x:c>
      <x:c r="B67" s="27" t="str">
        <x:v>车迟国王</x:v>
      </x:c>
      <x:c r="C67" s="27" t="str">
        <x:v>授权/宠信</x:v>
      </x:c>
      <x:c r="D67" s="27" t="str">
        <x:v>虎力鹿力羊力大仙</x:v>
      </x:c>
      <x:c r="E67" s="27" t="str">
        <x:v>第44—46回</x:v>
      </x:c>
      <x:c r="F67" s="27" t="str">
        <x:v>车迟国王权</x:v>
      </x:c>
      <x:c r="G67" s="27" t="str">
        <x:v>伪宗教权威</x:v>
      </x:c>
      <x:c r="H67" s="27" t="str">
        <x:v>国王宠信三道士，导致僧人受压。</x:v>
      </x:c>
      <x:c r="I67" s="27" t="str">
        <x:v>错误授权会形成制度性偏差。</x:v>
      </x:c>
      <x:c r="J67" s="27" t="str">
        <x:v>王权→授权</x:v>
      </x:c>
      <x:c r="K67" s="27" t="str">
        <x:v>待校核原文</x:v>
      </x:c>
      <x:c r="L67" s="27" t="str">
        <x:v>https://zh.wikisource.org/wiki/西游记/第四十四回</x:v>
      </x:c>
      <x:c r="M67" s="27"/>
      <x:c r="N67" s="27"/>
    </x:row>
    <x:row r="68" ht="26.399999618530273" hidden="0" customHeight="1">
      <x:c r="A68" s="27" t="str">
        <x:v>R067</x:v>
      </x:c>
      <x:c r="B68" s="27" t="str">
        <x:v>孙悟空</x:v>
      </x:c>
      <x:c r="C68" s="27" t="str">
        <x:v>揭露/斗法</x:v>
      </x:c>
      <x:c r="D68" s="27" t="str">
        <x:v>虎力鹿力羊力大仙</x:v>
      </x:c>
      <x:c r="E68" s="27" t="str">
        <x:v>第44—46回</x:v>
      </x:c>
      <x:c r="F68" s="27" t="str">
        <x:v>取经团队</x:v>
      </x:c>
      <x:c r="G68" s="27" t="str">
        <x:v>车迟国妖道</x:v>
      </x:c>
      <x:c r="H68" s="27" t="str">
        <x:v>悟空以斗法让三大仙现形。</x:v>
      </x:c>
      <x:c r="I68" s="27" t="str">
        <x:v>公开验证是破解伪权威的重要方式。</x:v>
      </x:c>
      <x:c r="J68" s="27" t="str">
        <x:v>验证→现形</x:v>
      </x:c>
      <x:c r="K68" s="27" t="str">
        <x:v>待校核原文</x:v>
      </x:c>
      <x:c r="L68" s="27" t="str">
        <x:v>https://zh.wikisource.org/wiki/西游记/第四十六回</x:v>
      </x:c>
      <x:c r="M68" s="27"/>
      <x:c r="N68" s="27"/>
    </x:row>
    <x:row r="69" ht="26.399999618530273" hidden="0" customHeight="1">
      <x:c r="A69" s="27" t="str">
        <x:v>R068</x:v>
      </x:c>
      <x:c r="B69" s="27" t="str">
        <x:v>灵感大王</x:v>
      </x:c>
      <x:c r="C69" s="27" t="str">
        <x:v>索祭/压迫</x:v>
      </x:c>
      <x:c r="D69" s="27" t="str">
        <x:v>陈家庄百姓</x:v>
      </x:c>
      <x:c r="E69" s="27" t="str">
        <x:v>第47—49回</x:v>
      </x:c>
      <x:c r="F69" s="27" t="str">
        <x:v>观音莲池外溢</x:v>
      </x:c>
      <x:c r="G69" s="27" t="str">
        <x:v>人间地方社会</x:v>
      </x:c>
      <x:c r="H69" s="27" t="str">
        <x:v>灵感大王要求童男童女祭赛，形成地方长期负担。</x:v>
      </x:c>
      <x:c r="I69" s="27" t="str">
        <x:v>妖患与地方治理失灵结合。</x:v>
      </x:c>
      <x:c r="J69" s="27" t="str">
        <x:v>压迫→受害</x:v>
      </x:c>
      <x:c r="K69" s="27" t="str">
        <x:v>待校核原文</x:v>
      </x:c>
      <x:c r="L69" s="27" t="str">
        <x:v>https://zh.wikisource.org/wiki/西游记/第四十七回</x:v>
      </x:c>
      <x:c r="M69" s="27"/>
      <x:c r="N69" s="27"/>
    </x:row>
    <x:row r="70" ht="26.399999618530273" hidden="0" customHeight="1">
      <x:c r="A70" s="27" t="str">
        <x:v>R069</x:v>
      </x:c>
      <x:c r="B70" s="27" t="str">
        <x:v>孙悟空、猪八戒</x:v>
      </x:c>
      <x:c r="C70" s="27" t="str">
        <x:v>替身救童/风险介入</x:v>
      </x:c>
      <x:c r="D70" s="27" t="str">
        <x:v>陈家庄小童</x:v>
      </x:c>
      <x:c r="E70" s="27" t="str">
        <x:v>第47回</x:v>
      </x:c>
      <x:c r="F70" s="27" t="str">
        <x:v>取经团队</x:v>
      </x:c>
      <x:c r="G70" s="27" t="str">
        <x:v>人间地方社会</x:v>
      </x:c>
      <x:c r="H70" s="27" t="str">
        <x:v>悟空八戒替代童男童女，打破献祭惯例。</x:v>
      </x:c>
      <x:c r="I70" s="27" t="str">
        <x:v>从“过路团队”转为公共风险处置者。</x:v>
      </x:c>
      <x:c r="J70" s="27" t="str">
        <x:v>救援→民生</x:v>
      </x:c>
      <x:c r="K70" s="27" t="str">
        <x:v>待校核原文</x:v>
      </x:c>
      <x:c r="L70" s="27" t="str">
        <x:v>https://zh.wikisource.org/wiki/西游记/第四十七回</x:v>
      </x:c>
      <x:c r="M70" s="27"/>
      <x:c r="N70" s="27"/>
    </x:row>
    <x:row r="71" ht="26.399999618530273" hidden="0" customHeight="1">
      <x:c r="A71" s="27" t="str">
        <x:v>R070</x:v>
      </x:c>
      <x:c r="B71" s="27" t="str">
        <x:v>灵感大王</x:v>
      </x:c>
      <x:c r="C71" s="27" t="str">
        <x:v>擒拿</x:v>
      </x:c>
      <x:c r="D71" s="27" t="str">
        <x:v>唐僧</x:v>
      </x:c>
      <x:c r="E71" s="27" t="str">
        <x:v>第48回</x:v>
      </x:c>
      <x:c r="F71" s="27" t="str">
        <x:v>观音莲池外溢</x:v>
      </x:c>
      <x:c r="G71" s="27" t="str">
        <x:v>取经团队</x:v>
      </x:c>
      <x:c r="H71" s="27" t="str">
        <x:v>灵感大王设计冰封通天河，摄唐僧入水府。</x:v>
      </x:c>
      <x:c r="I71" s="27" t="str">
        <x:v>环境陷阱与核心目标被擒。</x:v>
      </x:c>
      <x:c r="J71" s="27" t="str">
        <x:v>妖患→目标劫持</x:v>
      </x:c>
      <x:c r="K71" s="27" t="str">
        <x:v>待校核原文</x:v>
      </x:c>
      <x:c r="L71" s="27" t="str">
        <x:v>https://zh.wikisource.org/wiki/西游记/第四十八回</x:v>
      </x:c>
      <x:c r="M71" s="27"/>
      <x:c r="N71" s="27"/>
    </x:row>
    <x:row r="72" ht="26.399999618530273" hidden="0" customHeight="1">
      <x:c r="A72" s="27" t="str">
        <x:v>R071</x:v>
      </x:c>
      <x:c r="B72" s="27" t="str">
        <x:v>孙悟空</x:v>
      </x:c>
      <x:c r="C72" s="27" t="str">
        <x:v>求援</x:v>
      </x:c>
      <x:c r="D72" s="27" t="str">
        <x:v>观音</x:v>
      </x:c>
      <x:c r="E72" s="27" t="str">
        <x:v>第49回</x:v>
      </x:c>
      <x:c r="F72" s="27" t="str">
        <x:v>取经团队</x:v>
      </x:c>
      <x:c r="G72" s="27" t="str">
        <x:v>灵山/观音系统</x:v>
      </x:c>
      <x:c r="H72" s="27" t="str">
        <x:v>悟空求助观音，观音以鱼篮收回金鱼。</x:v>
      </x:c>
      <x:c r="I72" s="27" t="str">
        <x:v>后台系统对外溢风险的纠偏。</x:v>
      </x:c>
      <x:c r="J72" s="27" t="str">
        <x:v>求援→收束</x:v>
      </x:c>
      <x:c r="K72" s="27" t="str">
        <x:v>待校核原文</x:v>
      </x:c>
      <x:c r="L72" s="27" t="str">
        <x:v>https://zh.wikisource.org/wiki/西游记/第四十九回</x:v>
      </x:c>
      <x:c r="M72" s="27"/>
      <x:c r="N72" s="27"/>
    </x:row>
    <x:row r="73" ht="26.399999618530273" hidden="0" customHeight="1">
      <x:c r="A73" s="27" t="str">
        <x:v>R072</x:v>
      </x:c>
      <x:c r="B73" s="27" t="str">
        <x:v>灵感大王</x:v>
      </x:c>
      <x:c r="C73" s="27" t="str">
        <x:v>来源/归属</x:v>
      </x:c>
      <x:c r="D73" s="27" t="str">
        <x:v>观音莲池</x:v>
      </x:c>
      <x:c r="E73" s="27" t="str">
        <x:v>第49回</x:v>
      </x:c>
      <x:c r="F73" s="27" t="str">
        <x:v>妖怪</x:v>
      </x:c>
      <x:c r="G73" s="27" t="str">
        <x:v>灵山/观音系统</x:v>
      </x:c>
      <x:c r="H73" s="27" t="str">
        <x:v>灵感原为观音莲池金鱼。</x:v>
      </x:c>
      <x:c r="I73" s="27" t="str">
        <x:v>佛门系统也存在资源外溢。</x:v>
      </x:c>
      <x:c r="J73" s="27" t="str">
        <x:v>后台归属</x:v>
      </x:c>
      <x:c r="K73" s="27" t="str">
        <x:v>待校核原文</x:v>
      </x:c>
      <x:c r="L73" s="27" t="str">
        <x:v>https://zh.wikisource.org/wiki/西游记/第四十九回</x:v>
      </x:c>
      <x:c r="M73" s="27"/>
      <x:c r="N73" s="27"/>
    </x:row>
    <x:row r="74" ht="26.399999618530273" hidden="0" customHeight="1">
      <x:c r="A74" s="27" t="str">
        <x:v>R073</x:v>
      </x:c>
      <x:c r="B74" s="27" t="str">
        <x:v>独角兕大王</x:v>
      </x:c>
      <x:c r="C74" s="27" t="str">
        <x:v>压制</x:v>
      </x:c>
      <x:c r="D74" s="27" t="str">
        <x:v>孙悟空及诸神</x:v>
      </x:c>
      <x:c r="E74" s="27" t="str">
        <x:v>第50—52回</x:v>
      </x:c>
      <x:c r="F74" s="27" t="str">
        <x:v>老君系统外溢</x:v>
      </x:c>
      <x:c r="G74" s="27" t="str">
        <x:v>取经团队/天庭诸神</x:v>
      </x:c>
      <x:c r="H74" s="27" t="str">
        <x:v>独角兕凭金刚琢收摄兵器，使多方救援失效。</x:v>
      </x:c>
      <x:c r="I74" s="27" t="str">
        <x:v>高阶法宝导致协同失灵。</x:v>
      </x:c>
      <x:c r="J74" s="27" t="str">
        <x:v>法宝压制</x:v>
      </x:c>
      <x:c r="K74" s="27" t="str">
        <x:v>待校核原文</x:v>
      </x:c>
      <x:c r="L74" s="27" t="str">
        <x:v>https://zh.wikisource.org/wiki/西游记/第五十一回</x:v>
      </x:c>
      <x:c r="M74" s="27"/>
      <x:c r="N74" s="27"/>
    </x:row>
    <x:row r="75" ht="26.399999618530273" hidden="0" customHeight="1">
      <x:c r="A75" s="27" t="str">
        <x:v>R074</x:v>
      </x:c>
      <x:c r="B75" s="27" t="str">
        <x:v>孙悟空</x:v>
      </x:c>
      <x:c r="C75" s="27" t="str">
        <x:v>求线索</x:v>
      </x:c>
      <x:c r="D75" s="27" t="str">
        <x:v>如来</x:v>
      </x:c>
      <x:c r="E75" s="27" t="str">
        <x:v>第52回</x:v>
      </x:c>
      <x:c r="F75" s="27" t="str">
        <x:v>取经团队</x:v>
      </x:c>
      <x:c r="G75" s="27" t="str">
        <x:v>灵山系统</x:v>
      </x:c>
      <x:c r="H75" s="27" t="str">
        <x:v>悟空求至灵山，如来暗示主人所在。</x:v>
      </x:c>
      <x:c r="I75" s="27" t="str">
        <x:v>从现场处置转向溯源治理。</x:v>
      </x:c>
      <x:c r="J75" s="27" t="str">
        <x:v>求援→指引</x:v>
      </x:c>
      <x:c r="K75" s="27" t="str">
        <x:v>待校核原文</x:v>
      </x:c>
      <x:c r="L75" s="27" t="str">
        <x:v>https://zh.wikisource.org/wiki/西游记/第五十二回</x:v>
      </x:c>
      <x:c r="M75" s="27"/>
      <x:c r="N75" s="27"/>
    </x:row>
    <x:row r="76" ht="26.399999618530273" hidden="0" customHeight="1">
      <x:c r="A76" s="27" t="str">
        <x:v>R075</x:v>
      </x:c>
      <x:c r="B76" s="27" t="str">
        <x:v>太上老君</x:v>
      </x:c>
      <x:c r="C76" s="27" t="str">
        <x:v>收回/责任归属</x:v>
      </x:c>
      <x:c r="D76" s="27" t="str">
        <x:v>独角兕大王与金刚琢</x:v>
      </x:c>
      <x:c r="E76" s="27" t="str">
        <x:v>第52回</x:v>
      </x:c>
      <x:c r="F76" s="27" t="str">
        <x:v>道教/老君系统</x:v>
      </x:c>
      <x:c r="G76" s="27" t="str">
        <x:v>坐骑/法宝</x:v>
      </x:c>
      <x:c r="H76" s="27" t="str">
        <x:v>老君收回青牛与金刚琢。</x:v>
      </x:c>
      <x:c r="I76" s="27" t="str">
        <x:v>后台责任与资源收束。</x:v>
      </x:c>
      <x:c r="J76" s="27" t="str">
        <x:v>后台→收束</x:v>
      </x:c>
      <x:c r="K76" s="27" t="str">
        <x:v>待校核原文</x:v>
      </x:c>
      <x:c r="L76" s="27" t="str">
        <x:v>https://zh.wikisource.org/wiki/西游记/第五十二回</x:v>
      </x:c>
      <x:c r="M76" s="27"/>
      <x:c r="N76" s="27"/>
    </x:row>
    <x:row r="77" ht="26.399999618530273" hidden="0" customHeight="1">
      <x:c r="A77" s="27" t="str">
        <x:v>R076</x:v>
      </x:c>
      <x:c r="B77" s="27" t="str">
        <x:v>唐僧</x:v>
      </x:c>
      <x:c r="C77" s="27" t="str">
        <x:v>误饮/共困</x:v>
      </x:c>
      <x:c r="D77" s="27" t="str">
        <x:v>猪八戒</x:v>
      </x:c>
      <x:c r="E77" s="27" t="str">
        <x:v>第53回</x:v>
      </x:c>
      <x:c r="F77" s="27" t="str">
        <x:v>取经团队</x:v>
      </x:c>
      <x:c r="G77" s="27" t="str">
        <x:v>取经团队</x:v>
      </x:c>
      <x:c r="H77" s="27" t="str">
        <x:v>二人误饮子母河水，形成共同身体困局。</x:v>
      </x:c>
      <x:c r="I77" s="27" t="str">
        <x:v>团队风险有时由环境触发，非个人道德可解释。</x:v>
      </x:c>
      <x:c r="J77" s="27" t="str">
        <x:v>团队内部→共困</x:v>
      </x:c>
      <x:c r="K77" s="27" t="str">
        <x:v>待校核原文</x:v>
      </x:c>
      <x:c r="L77" s="27" t="str">
        <x:v>https://zh.wikisource.org/wiki/西游记/第五十三回</x:v>
      </x:c>
      <x:c r="M77" s="27"/>
      <x:c r="N77" s="27"/>
    </x:row>
    <x:row r="78" ht="26.399999618530273" hidden="0" customHeight="1">
      <x:c r="A78" s="27" t="str">
        <x:v>R077</x:v>
      </x:c>
      <x:c r="B78" s="27" t="str">
        <x:v>孙悟空</x:v>
      </x:c>
      <x:c r="C78" s="27" t="str">
        <x:v>求解/冲突</x:v>
      </x:c>
      <x:c r="D78" s="27" t="str">
        <x:v>如意真仙</x:v>
      </x:c>
      <x:c r="E78" s="27" t="str">
        <x:v>第53回</x:v>
      </x:c>
      <x:c r="F78" s="27" t="str">
        <x:v>取经团队</x:v>
      </x:c>
      <x:c r="G78" s="27" t="str">
        <x:v>落胎泉系统</x:v>
      </x:c>
      <x:c r="H78" s="27" t="str">
        <x:v>悟空求取落胎泉水，与如意真仙冲突。</x:v>
      </x:c>
      <x:c r="I78" s="27" t="str">
        <x:v>关键资源把守造成救援成本。</x:v>
      </x:c>
      <x:c r="J78" s="27" t="str">
        <x:v>求援→资源争夺</x:v>
      </x:c>
      <x:c r="K78" s="27" t="str">
        <x:v>待校核原文</x:v>
      </x:c>
      <x:c r="L78" s="27" t="str">
        <x:v>https://zh.wikisource.org/wiki/西游记/第五十三回</x:v>
      </x:c>
      <x:c r="M78" s="27"/>
      <x:c r="N78" s="27"/>
    </x:row>
    <x:row r="79" ht="26.399999618530273" hidden="0" customHeight="1">
      <x:c r="A79" s="27" t="str">
        <x:v>R078</x:v>
      </x:c>
      <x:c r="B79" s="27" t="str">
        <x:v>女儿国王</x:v>
      </x:c>
      <x:c r="C79" s="27" t="str">
        <x:v>招赘/情感拉扯</x:v>
      </x:c>
      <x:c r="D79" s="27" t="str">
        <x:v>唐僧</x:v>
      </x:c>
      <x:c r="E79" s="27" t="str">
        <x:v>第54回</x:v>
      </x:c>
      <x:c r="F79" s="27" t="str">
        <x:v>西梁女国</x:v>
      </x:c>
      <x:c r="G79" s="27" t="str">
        <x:v>取经团队</x:v>
      </x:c>
      <x:c r="H79" s="27" t="str">
        <x:v>女王欲招唐僧为夫，阻滞取经行程。</x:v>
      </x:c>
      <x:c r="I79" s="27" t="str">
        <x:v>情感型权力对使命型组织的压力。</x:v>
      </x:c>
      <x:c r="J79" s="27" t="str">
        <x:v>王权/情感→使命</x:v>
      </x:c>
      <x:c r="K79" s="27" t="str">
        <x:v>待校核原文</x:v>
      </x:c>
      <x:c r="L79" s="27" t="str">
        <x:v>https://zh.wikisource.org/wiki/西游记/第五十四回</x:v>
      </x:c>
      <x:c r="M79" s="27"/>
      <x:c r="N79" s="27"/>
    </x:row>
    <x:row r="80" ht="26.399999618530273" hidden="0" customHeight="1">
      <x:c r="A80" s="27" t="str">
        <x:v>R079</x:v>
      </x:c>
      <x:c r="B80" s="27" t="str">
        <x:v>蝎子精</x:v>
      </x:c>
      <x:c r="C80" s="27" t="str">
        <x:v>摄取/攻击</x:v>
      </x:c>
      <x:c r="D80" s="27" t="str">
        <x:v>唐僧</x:v>
      </x:c>
      <x:c r="E80" s="27" t="str">
        <x:v>第55回</x:v>
      </x:c>
      <x:c r="F80" s="27" t="str">
        <x:v>妖怪系统</x:v>
      </x:c>
      <x:c r="G80" s="27" t="str">
        <x:v>取经团队</x:v>
      </x:c>
      <x:c r="H80" s="27" t="str">
        <x:v>蝎子精摄走唐僧，形成色邪之难。</x:v>
      </x:c>
      <x:c r="I80" s="27" t="str">
        <x:v>欲望风险转化为安全风险。</x:v>
      </x:c>
      <x:c r="J80" s="27" t="str">
        <x:v>妖怪→目标</x:v>
      </x:c>
      <x:c r="K80" s="27" t="str">
        <x:v>待校核原文</x:v>
      </x:c>
      <x:c r="L80" s="27" t="str">
        <x:v>https://zh.wikisource.org/wiki/西游记/第五十五回</x:v>
      </x:c>
      <x:c r="M80" s="27"/>
      <x:c r="N80" s="27"/>
    </x:row>
    <x:row r="81" ht="26.399999618530273" hidden="0" customHeight="1">
      <x:c r="A81" s="27" t="str">
        <x:v>R080</x:v>
      </x:c>
      <x:c r="B81" s="27" t="str">
        <x:v>蝎子精</x:v>
      </x:c>
      <x:c r="C81" s="27" t="str">
        <x:v>毒伤/压制</x:v>
      </x:c>
      <x:c r="D81" s="27" t="str">
        <x:v>孙悟空</x:v>
      </x:c>
      <x:c r="E81" s="27" t="str">
        <x:v>第55回</x:v>
      </x:c>
      <x:c r="F81" s="27" t="str">
        <x:v>妖怪系统</x:v>
      </x:c>
      <x:c r="G81" s="27" t="str">
        <x:v>取经团队</x:v>
      </x:c>
      <x:c r="H81" s="27" t="str">
        <x:v>蝎子精以毒钩使悟空受挫。</x:v>
      </x:c>
      <x:c r="I81" s="27" t="str">
        <x:v>强能力者也有克制盲区。</x:v>
      </x:c>
      <x:c r="J81" s="27" t="str">
        <x:v>攻击→压制</x:v>
      </x:c>
      <x:c r="K81" s="27" t="str">
        <x:v>待校核原文</x:v>
      </x:c>
      <x:c r="L81" s="27" t="str">
        <x:v>https://zh.wikisource.org/wiki/西游记/第五十五回</x:v>
      </x:c>
      <x:c r="M81" s="27"/>
      <x:c r="N81" s="27"/>
    </x:row>
    <x:row r="82" ht="26.399999618530273" hidden="0" customHeight="1">
      <x:c r="A82" s="27" t="str">
        <x:v>R081</x:v>
      </x:c>
      <x:c r="B82" s="27" t="str">
        <x:v>昴日星官</x:v>
      </x:c>
      <x:c r="C82" s="27" t="str">
        <x:v>专业克制</x:v>
      </x:c>
      <x:c r="D82" s="27" t="str">
        <x:v>蝎子精</x:v>
      </x:c>
      <x:c r="E82" s="27" t="str">
        <x:v>第55回</x:v>
      </x:c>
      <x:c r="F82" s="27" t="str">
        <x:v>天庭系统</x:v>
      </x:c>
      <x:c r="G82" s="27" t="str">
        <x:v>妖怪系统</x:v>
      </x:c>
      <x:c r="H82" s="27" t="str">
        <x:v>昴日星官作为克星降伏蝎子精。</x:v>
      </x:c>
      <x:c r="I82" s="27" t="str">
        <x:v>专业克制机制比一般战力更重要。</x:v>
      </x:c>
      <x:c r="J82" s="27" t="str">
        <x:v>外援→克制</x:v>
      </x:c>
      <x:c r="K82" s="27" t="str">
        <x:v>待校核原文</x:v>
      </x:c>
      <x:c r="L82" s="27" t="str">
        <x:v>https://zh.wikisource.org/wiki/西游记/第五十五回</x:v>
      </x:c>
      <x:c r="M82" s="27"/>
      <x:c r="N82" s="27"/>
    </x:row>
    <x:row r="83" ht="26.399999618530273" hidden="0" customHeight="1">
      <x:c r="A83" s="27" t="str">
        <x:v>R082</x:v>
      </x:c>
      <x:c r="B83" s="27" t="str">
        <x:v>孙悟空</x:v>
      </x:c>
      <x:c r="C83" s="27" t="str">
        <x:v>诛杀/冲突触发</x:v>
      </x:c>
      <x:c r="D83" s="27" t="str">
        <x:v>草寇</x:v>
      </x:c>
      <x:c r="E83" s="27" t="str">
        <x:v>第56回</x:v>
      </x:c>
      <x:c r="F83" s="27" t="str">
        <x:v>取经团队</x:v>
      </x:c>
      <x:c r="G83" s="27" t="str">
        <x:v>人间盗匪</x:v>
      </x:c>
      <x:c r="H83" s="27" t="str">
        <x:v>悟空打杀草寇，引发唐僧责怪。</x:v>
      </x:c>
      <x:c r="I83" s="27" t="str">
        <x:v>外部小敌触发内部大裂缝。</x:v>
      </x:c>
      <x:c r="J83" s="27" t="str">
        <x:v>处置→争议</x:v>
      </x:c>
      <x:c r="K83" s="27" t="str">
        <x:v>待校核原文</x:v>
      </x:c>
      <x:c r="L83" s="27" t="str">
        <x:v>https://zh.wikisource.org/wiki/西游记/第五十六回</x:v>
      </x:c>
      <x:c r="M83" s="27"/>
      <x:c r="N83" s="27"/>
    </x:row>
    <x:row r="84" ht="26.399999618530273" hidden="0" customHeight="1">
      <x:c r="A84" s="27" t="str">
        <x:v>R083</x:v>
      </x:c>
      <x:c r="B84" s="27" t="str">
        <x:v>唐僧</x:v>
      </x:c>
      <x:c r="C84" s="27" t="str">
        <x:v>误判/裂缝</x:v>
      </x:c>
      <x:c r="D84" s="27" t="str">
        <x:v>孙悟空</x:v>
      </x:c>
      <x:c r="E84" s="27" t="str">
        <x:v>第56—57回</x:v>
      </x:c>
      <x:c r="F84" s="27" t="str">
        <x:v>取经团队</x:v>
      </x:c>
      <x:c r="G84" s="27" t="str">
        <x:v>取经团队</x:v>
      </x:c>
      <x:c r="H84" s="27" t="str">
        <x:v>唐僧对悟空处置草寇不满，导致真假美猴王前的关系裂缝。</x:v>
      </x:c>
      <x:c r="I84" s="27" t="str">
        <x:v>信任崩裂是身份危机的前置条件。</x:v>
      </x:c>
      <x:c r="J84" s="27" t="str">
        <x:v>领导→关键人才</x:v>
      </x:c>
      <x:c r="K84" s="27" t="str">
        <x:v>待校核原文</x:v>
      </x:c>
      <x:c r="L84" s="27" t="str">
        <x:v>https://zh.wikisource.org/wiki/西游记/第五十六回</x:v>
      </x:c>
      <x:c r="M84" s="27"/>
      <x:c r="N84" s="27"/>
    </x:row>
    <x:row r="85" ht="26.399999618530273" hidden="0" customHeight="1">
      <x:c r="A85" s="27" t="str">
        <x:v>R084</x:v>
      </x:c>
      <x:c r="B85" s="27" t="str">
        <x:v>六耳猕猴</x:v>
      </x:c>
      <x:c r="C85" s="27" t="str">
        <x:v>冒充/复制</x:v>
      </x:c>
      <x:c r="D85" s="27" t="str">
        <x:v>孙悟空</x:v>
      </x:c>
      <x:c r="E85" s="27" t="str">
        <x:v>第57—58回</x:v>
      </x:c>
      <x:c r="F85" s="27" t="str">
        <x:v>心魔/异类系统</x:v>
      </x:c>
      <x:c r="G85" s="27" t="str">
        <x:v>取经团队</x:v>
      </x:c>
      <x:c r="H85" s="27" t="str">
        <x:v>六耳猕猴冒充悟空，能力与形貌高度相似。</x:v>
      </x:c>
      <x:c r="I85" s="27" t="str">
        <x:v>同形替代者是最难识别的风险。</x:v>
      </x:c>
      <x:c r="J85" s="27" t="str">
        <x:v>复制/替代</x:v>
      </x:c>
      <x:c r="K85" s="27" t="str">
        <x:v>待校核原文</x:v>
      </x:c>
      <x:c r="L85" s="27" t="str">
        <x:v>https://zh.wikisource.org/wiki/西游记/第五十八回</x:v>
      </x:c>
      <x:c r="M85" s="27"/>
      <x:c r="N85" s="27"/>
    </x:row>
    <x:row r="86" ht="26.399999618530273" hidden="0" customHeight="1">
      <x:c r="A86" s="27" t="str">
        <x:v>R085</x:v>
      </x:c>
      <x:c r="B86" s="27" t="str">
        <x:v>谛听</x:v>
      </x:c>
      <x:c r="C86" s="27" t="str">
        <x:v>辨识但不裁断</x:v>
      </x:c>
      <x:c r="D86" s="27" t="str">
        <x:v>六耳猕猴</x:v>
      </x:c>
      <x:c r="E86" s="27" t="str">
        <x:v>第58回</x:v>
      </x:c>
      <x:c r="F86" s="27" t="str">
        <x:v>地藏系统</x:v>
      </x:c>
      <x:c r="G86" s="27" t="str">
        <x:v>心魔/异类系统</x:v>
      </x:c>
      <x:c r="H86" s="27" t="str">
        <x:v>谛听能知真假，却建议到如来处裁决。</x:v>
      </x:c>
      <x:c r="I86" s="27" t="str">
        <x:v>识别权与裁决权分离。</x:v>
      </x:c>
      <x:c r="J86" s="27" t="str">
        <x:v>证据识别→上送裁决</x:v>
      </x:c>
      <x:c r="K86" s="27" t="str">
        <x:v>待校核原文</x:v>
      </x:c>
      <x:c r="L86" s="27" t="str">
        <x:v>https://zh.wikisource.org/wiki/西游记/第五十八回</x:v>
      </x:c>
      <x:c r="M86" s="27"/>
      <x:c r="N86" s="27"/>
    </x:row>
    <x:row r="87" ht="26.399999618530273" hidden="0" customHeight="1">
      <x:c r="A87" s="27" t="str">
        <x:v>R086</x:v>
      </x:c>
      <x:c r="B87" s="27" t="str">
        <x:v>如来</x:v>
      </x:c>
      <x:c r="C87" s="27" t="str">
        <x:v>识破/终裁</x:v>
      </x:c>
      <x:c r="D87" s="27" t="str">
        <x:v>六耳猕猴</x:v>
      </x:c>
      <x:c r="E87" s="27" t="str">
        <x:v>第58回</x:v>
      </x:c>
      <x:c r="F87" s="27" t="str">
        <x:v>灵山系统</x:v>
      </x:c>
      <x:c r="G87" s="27" t="str">
        <x:v>心魔/异类系统</x:v>
      </x:c>
      <x:c r="H87" s="27" t="str">
        <x:v>如来揭示六耳本相，终结真假争端。</x:v>
      </x:c>
      <x:c r="I87" s="27" t="str">
        <x:v>最高权威完成身份裁决。</x:v>
      </x:c>
      <x:c r="J87" s="27" t="str">
        <x:v>最高裁决→真伪判定</x:v>
      </x:c>
      <x:c r="K87" s="27" t="str">
        <x:v>待校核原文</x:v>
      </x:c>
      <x:c r="L87" s="27" t="str">
        <x:v>https://zh.wikisource.org/wiki/西游记/第五十八回</x:v>
      </x:c>
      <x:c r="M87" s="27"/>
      <x:c r="N87" s="27"/>
    </x:row>
    <x:row r="88" ht="26.399999618530273" hidden="0" customHeight="1">
      <x:c r="A88" s="27" t="str">
        <x:v>R087</x:v>
      </x:c>
      <x:c r="B88" s="27" t="str">
        <x:v>红孩儿</x:v>
      </x:c>
      <x:c r="C88" s="27" t="str">
        <x:v>亲子/旧怨来源</x:v>
      </x:c>
      <x:c r="D88" s="27" t="str">
        <x:v>铁扇公主</x:v>
      </x:c>
      <x:c r="E88" s="27" t="str">
        <x:v>第59回</x:v>
      </x:c>
      <x:c r="F88" s="27" t="str">
        <x:v>牛魔王家族</x:v>
      </x:c>
      <x:c r="G88" s="27" t="str">
        <x:v>牛魔王家族</x:v>
      </x:c>
      <x:c r="H88" s="27" t="str">
        <x:v>铁扇公主因红孩儿被观音收去而怨恨悟空，拒借扇。</x:v>
      </x:c>
      <x:c r="I88" s="27" t="str">
        <x:v>前一难的处理结果会成为后一难的关系成本。</x:v>
      </x:c>
      <x:c r="J88" s="27" t="str">
        <x:v>亲缘→旧怨</x:v>
      </x:c>
      <x:c r="K88" s="27" t="str">
        <x:v>待校核原文</x:v>
      </x:c>
      <x:c r="L88" s="27" t="str">
        <x:v>https://zh.wikisource.org/wiki/西游记/第五十九回</x:v>
      </x:c>
      <x:c r="M88" s="27"/>
      <x:c r="N88" s="27"/>
    </x:row>
    <x:row r="89" ht="26.399999618530273" hidden="0" customHeight="1">
      <x:c r="A89" s="27" t="str">
        <x:v>R088</x:v>
      </x:c>
      <x:c r="B89" s="27" t="str">
        <x:v>铁扇公主</x:v>
      </x:c>
      <x:c r="C89" s="27" t="str">
        <x:v>夫妻/资源链</x:v>
      </x:c>
      <x:c r="D89" s="27" t="str">
        <x:v>牛魔王</x:v>
      </x:c>
      <x:c r="E89" s="27" t="str">
        <x:v>第59—61回</x:v>
      </x:c>
      <x:c r="F89" s="27" t="str">
        <x:v>翠云山芭蕉洞</x:v>
      </x:c>
      <x:c r="G89" s="27" t="str">
        <x:v>积雷山摩云洞</x:v>
      </x:c>
      <x:c r="H89" s="27" t="str">
        <x:v>铁扇公主为牛魔王之妻，芭蕉扇资源与牛魔王家族关系相连。</x:v>
      </x:c>
      <x:c r="I89" s="27" t="str">
        <x:v>关键资源不只是物，也嵌在家庭关系中。</x:v>
      </x:c>
      <x:c r="J89" s="27" t="str">
        <x:v>家族→资源</x:v>
      </x:c>
      <x:c r="K89" s="27" t="str">
        <x:v>待校核原文</x:v>
      </x:c>
      <x:c r="L89" s="27" t="str">
        <x:v>https://zh.wikisource.org/wiki/西游记/第六十回</x:v>
      </x:c>
      <x:c r="M89" s="27"/>
      <x:c r="N89" s="27"/>
    </x:row>
    <x:row r="90" ht="26.399999618530273" hidden="0" customHeight="1">
      <x:c r="A90" s="27" t="str">
        <x:v>R089</x:v>
      </x:c>
      <x:c r="B90" s="27" t="str">
        <x:v>孙悟空</x:v>
      </x:c>
      <x:c r="C90" s="27" t="str">
        <x:v>交涉/冲突</x:v>
      </x:c>
      <x:c r="D90" s="27" t="str">
        <x:v>铁扇公主</x:v>
      </x:c>
      <x:c r="E90" s="27" t="str">
        <x:v>第59—61回</x:v>
      </x:c>
      <x:c r="F90" s="27" t="str">
        <x:v>取经团队</x:v>
      </x:c>
      <x:c r="G90" s="27" t="str">
        <x:v>牛魔王家族</x:v>
      </x:c>
      <x:c r="H90" s="27" t="str">
        <x:v>悟空多次向铁扇公主借扇并发生冲突。</x:v>
      </x:c>
      <x:c r="I90" s="27" t="str">
        <x:v>资源谈判失败会转为冲突治理。</x:v>
      </x:c>
      <x:c r="J90" s="27" t="str">
        <x:v>冲突→资源争夺</x:v>
      </x:c>
      <x:c r="K90" s="27" t="str">
        <x:v>待校核原文</x:v>
      </x:c>
      <x:c r="L90" s="27" t="str">
        <x:v>https://zh.wikisource.org/wiki/西游记/第五十九回</x:v>
      </x:c>
      <x:c r="M90" s="27"/>
      <x:c r="N90" s="27"/>
    </x:row>
    <x:row r="91" ht="26.399999618530273" hidden="0" customHeight="1">
      <x:c r="A91" s="27" t="str">
        <x:v>R090</x:v>
      </x:c>
      <x:c r="B91" s="27" t="str">
        <x:v>孙悟空</x:v>
      </x:c>
      <x:c r="C91" s="27" t="str">
        <x:v>旧交/敌对转化</x:v>
      </x:c>
      <x:c r="D91" s="27" t="str">
        <x:v>牛魔王</x:v>
      </x:c>
      <x:c r="E91" s="27" t="str">
        <x:v>第60—61回</x:v>
      </x:c>
      <x:c r="F91" s="27" t="str">
        <x:v>取经团队</x:v>
      </x:c>
      <x:c r="G91" s="27" t="str">
        <x:v>牛魔王家族</x:v>
      </x:c>
      <x:c r="H91" s="27" t="str">
        <x:v>悟空与牛魔王有旧交，但在火焰山段成为对手。</x:v>
      </x:c>
      <x:c r="I91" s="27" t="str">
        <x:v>旧关系不能自动转化为协同，反可能增加博弈复杂度。</x:v>
      </x:c>
      <x:c r="J91" s="27" t="str">
        <x:v>旧交→冲突</x:v>
      </x:c>
      <x:c r="K91" s="27" t="str">
        <x:v>待校核原文</x:v>
      </x:c>
      <x:c r="L91" s="27" t="str">
        <x:v>https://zh.wikisource.org/wiki/西游记/第六十一回</x:v>
      </x:c>
      <x:c r="M91" s="27"/>
      <x:c r="N91" s="27"/>
    </x:row>
    <x:row r="92" ht="26.399999618530273" hidden="0" customHeight="1">
      <x:c r="A92" s="27" t="str">
        <x:v>R091</x:v>
      </x:c>
      <x:c r="B92" s="27" t="str">
        <x:v>牛魔王</x:v>
      </x:c>
      <x:c r="C92" s="27" t="str">
        <x:v>情欲/居处关系</x:v>
      </x:c>
      <x:c r="D92" s="27" t="str">
        <x:v>玉面狐狸</x:v>
      </x:c>
      <x:c r="E92" s="27" t="str">
        <x:v>第60回</x:v>
      </x:c>
      <x:c r="F92" s="27" t="str">
        <x:v>牛魔王家族</x:v>
      </x:c>
      <x:c r="G92" s="27" t="str">
        <x:v>摩云洞系统</x:v>
      </x:c>
      <x:c r="H92" s="27" t="str">
        <x:v>玉面狐狸牵出牛魔王在积雷山的另一处关系网络。</x:v>
      </x:c>
      <x:c r="I92" s="27" t="str">
        <x:v>隐性关系网络影响资源和行动路径。</x:v>
      </x:c>
      <x:c r="J92" s="27" t="str">
        <x:v>情欲→关系网</x:v>
      </x:c>
      <x:c r="K92" s="27" t="str">
        <x:v>待校核原文</x:v>
      </x:c>
      <x:c r="L92" s="27" t="str">
        <x:v>https://zh.wikisource.org/wiki/西游记/第六十回</x:v>
      </x:c>
      <x:c r="M92" s="27"/>
      <x:c r="N92" s="27"/>
    </x:row>
    <x:row r="93" ht="26.399999618530273" hidden="0" customHeight="1">
      <x:c r="A93" s="27" t="str">
        <x:v>R092</x:v>
      </x:c>
      <x:c r="B93" s="27" t="str">
        <x:v>猪八戒</x:v>
      </x:c>
      <x:c r="C93" s="27" t="str">
        <x:v>助战/协同</x:v>
      </x:c>
      <x:c r="D93" s="27" t="str">
        <x:v>孙悟空</x:v>
      </x:c>
      <x:c r="E93" s="27" t="str">
        <x:v>第61回</x:v>
      </x:c>
      <x:c r="F93" s="27" t="str">
        <x:v>取经团队</x:v>
      </x:c>
      <x:c r="G93" s="27" t="str">
        <x:v>取经团队</x:v>
      </x:c>
      <x:c r="H93" s="27" t="str">
        <x:v>八戒助力悟空对付牛魔王。</x:v>
      </x:c>
      <x:c r="I93" s="27" t="str">
        <x:v>八戒在关键战斗中具有不可替代的协同价值。</x:v>
      </x:c>
      <x:c r="J93" s="27" t="str">
        <x:v>协同→战斗</x:v>
      </x:c>
      <x:c r="K93" s="27" t="str">
        <x:v>待校核原文</x:v>
      </x:c>
      <x:c r="L93" s="27" t="str">
        <x:v>https://zh.wikisource.org/wiki/西游记/第六十一回</x:v>
      </x:c>
      <x:c r="M93" s="27"/>
      <x:c r="N93" s="27"/>
    </x:row>
    <x:row r="94" ht="26.399999618530273" hidden="0" customHeight="1">
      <x:c r="A94" s="27" t="str">
        <x:v>R093</x:v>
      </x:c>
      <x:c r="B94" s="27" t="str">
        <x:v>哪吒/托塔天王</x:v>
      </x:c>
      <x:c r="C94" s="27" t="str">
        <x:v>外部支援/合围</x:v>
      </x:c>
      <x:c r="D94" s="27" t="str">
        <x:v>牛魔王</x:v>
      </x:c>
      <x:c r="E94" s="27" t="str">
        <x:v>第61回</x:v>
      </x:c>
      <x:c r="F94" s="27" t="str">
        <x:v>天庭系统</x:v>
      </x:c>
      <x:c r="G94" s="27" t="str">
        <x:v>牛魔王家族</x:v>
      </x:c>
      <x:c r="H94" s="27" t="str">
        <x:v>天庭力量参与合围并协助降伏牛魔王。</x:v>
      </x:c>
      <x:c r="I94" s="27" t="str">
        <x:v>复杂强敌需要跨系统外援。</x:v>
      </x:c>
      <x:c r="J94" s="27" t="str">
        <x:v>外援→收束</x:v>
      </x:c>
      <x:c r="K94" s="27" t="str">
        <x:v>待校核原文</x:v>
      </x:c>
      <x:c r="L94" s="27" t="str">
        <x:v>https://zh.wikisource.org/wiki/西游记/第六十一回</x:v>
      </x:c>
      <x:c r="M94" s="27"/>
      <x:c r="N94" s="27"/>
    </x:row>
    <x:row r="95" ht="26.399999618530273" hidden="0" customHeight="1">
      <x:c r="A95" s="27" t="str">
        <x:v>R095</x:v>
      </x:c>
      <x:c r="B95" s="27" t="str">
        <x:v>祭赛国王</x:v>
      </x:c>
      <x:c r="C95" s="27" t="str">
        <x:v>误判/惩罚</x:v>
      </x:c>
      <x:c r="D95" s="27" t="str">
        <x:v>金光寺僧</x:v>
      </x:c>
      <x:c r="E95" s="27" t="str">
        <x:v>第62回</x:v>
      </x:c>
      <x:c r="F95" s="27" t="str">
        <x:v>人间王权</x:v>
      </x:c>
      <x:c r="G95" s="27" t="str">
        <x:v>佛寺系统</x:v>
      </x:c>
      <x:c r="H95" s="27" t="str">
        <x:v>因佛宝失窃而责罚僧众。</x:v>
      </x:c>
      <x:c r="I95" s="27" t="str">
        <x:v>权力在证据不足时易将责任压向弱势群体。</x:v>
      </x:c>
      <x:c r="J95" s="27" t="str">
        <x:v>王权→寺院</x:v>
      </x:c>
      <x:c r="K95" s="27" t="str">
        <x:v>待校核原文</x:v>
      </x:c>
      <x:c r="L95" s="27" t="str">
        <x:v>https://zh.wikisource.org/wiki/西游记/第六十二回</x:v>
      </x:c>
      <x:c r="M95" s="27"/>
      <x:c r="N95" s="27"/>
    </x:row>
    <x:row r="96" ht="26.399999618530273" hidden="0" customHeight="1">
      <x:c r="A96" s="27" t="str">
        <x:v>R096</x:v>
      </x:c>
      <x:c r="B96" s="27" t="str">
        <x:v>悟空</x:v>
      </x:c>
      <x:c r="C96" s="27" t="str">
        <x:v>查证/救冤</x:v>
      </x:c>
      <x:c r="D96" s="27" t="str">
        <x:v>金光寺僧</x:v>
      </x:c>
      <x:c r="E96" s="27" t="str">
        <x:v>第62回</x:v>
      </x:c>
      <x:c r="F96" s="27" t="str">
        <x:v>取经团队</x:v>
      </x:c>
      <x:c r="G96" s="27" t="str">
        <x:v>佛寺系统</x:v>
      </x:c>
      <x:c r="H96" s="27" t="str">
        <x:v>夜扫宝塔，发现失宝线索，为僧众洗冤。</x:v>
      </x:c>
      <x:c r="I96" s="27" t="str">
        <x:v>专业调查重新连接断裂证据链。</x:v>
      </x:c>
      <x:c r="J96" s="27" t="str">
        <x:v>调查→救济</x:v>
      </x:c>
      <x:c r="K96" s="27" t="str">
        <x:v>待校核原文</x:v>
      </x:c>
      <x:c r="L96" s="27" t="str">
        <x:v>https://zh.wikisource.org/wiki/西游记/第六十二回</x:v>
      </x:c>
      <x:c r="M96" s="27"/>
      <x:c r="N96" s="27"/>
    </x:row>
    <x:row r="97" ht="26.399999618530273" hidden="0" customHeight="1">
      <x:c r="A97" s="27" t="str">
        <x:v>R097</x:v>
      </x:c>
      <x:c r="B97" s="27" t="str">
        <x:v>九头虫</x:v>
      </x:c>
      <x:c r="C97" s="27" t="str">
        <x:v>联盟/盗宝</x:v>
      </x:c>
      <x:c r="D97" s="27" t="str">
        <x:v>万圣龙王父女</x:v>
      </x:c>
      <x:c r="E97" s="27" t="str">
        <x:v>第62—63回</x:v>
      </x:c>
      <x:c r="F97" s="27" t="str">
        <x:v>妖怪系统</x:v>
      </x:c>
      <x:c r="G97" s="27" t="str">
        <x:v>碧波潭系统</x:v>
      </x:c>
      <x:c r="H97" s="27" t="str">
        <x:v>盗宝案背后形成妖怪与地方龙宫联盟。</x:v>
      </x:c>
      <x:c r="I97" s="27" t="str">
        <x:v>地方势力与妖怪联盟会放大治理难度。</x:v>
      </x:c>
      <x:c r="J97" s="27" t="str">
        <x:v>联盟边</x:v>
      </x:c>
      <x:c r="K97" s="27" t="str">
        <x:v>待校核原文</x:v>
      </x:c>
      <x:c r="L97" s="27" t="str">
        <x:v>https://zh.wikisource.org/wiki/西游记/第六十三回</x:v>
      </x:c>
      <x:c r="M97" s="27"/>
      <x:c r="N97" s="27"/>
    </x:row>
    <x:row r="98" ht="26.399999618530273" hidden="0" customHeight="1">
      <x:c r="A98" s="27" t="str">
        <x:v>R098</x:v>
      </x:c>
      <x:c r="B98" s="27" t="str">
        <x:v>悟空、八戒</x:v>
      </x:c>
      <x:c r="C98" s="27" t="str">
        <x:v>协同除邪</x:v>
      </x:c>
      <x:c r="D98" s="27" t="str">
        <x:v>九头虫</x:v>
      </x:c>
      <x:c r="E98" s="27" t="str">
        <x:v>第63回</x:v>
      </x:c>
      <x:c r="F98" s="27" t="str">
        <x:v>取经团队</x:v>
      </x:c>
      <x:c r="G98" s="27" t="str">
        <x:v>妖怪系统</x:v>
      </x:c>
      <x:c r="H98" s="27" t="str">
        <x:v>两人联手追击九头虫，并引入外部力量。</x:v>
      </x:c>
      <x:c r="I98" s="27" t="str">
        <x:v>核心成员协同与外援联动。</x:v>
      </x:c>
      <x:c r="J98" s="27" t="str">
        <x:v>作战协同</x:v>
      </x:c>
      <x:c r="K98" s="27" t="str">
        <x:v>待校核原文</x:v>
      </x:c>
      <x:c r="L98" s="27" t="str">
        <x:v>https://zh.wikisource.org/wiki/西游记/第六十三回</x:v>
      </x:c>
      <x:c r="M98" s="27"/>
      <x:c r="N98" s="27"/>
    </x:row>
    <x:row r="99" ht="26.399999618530273" hidden="0" customHeight="1">
      <x:c r="A99" s="27" t="str">
        <x:v>R099</x:v>
      </x:c>
      <x:c r="B99" s="27" t="str">
        <x:v>二郎神/梅山兄弟</x:v>
      </x:c>
      <x:c r="C99" s="27" t="str">
        <x:v>外援助战</x:v>
      </x:c>
      <x:c r="D99" s="27" t="str">
        <x:v>悟空</x:v>
      </x:c>
      <x:c r="E99" s="27" t="str">
        <x:v>第63回</x:v>
      </x:c>
      <x:c r="F99" s="27" t="str">
        <x:v>天庭/灌江口系统</x:v>
      </x:c>
      <x:c r="G99" s="27" t="str">
        <x:v>取经团队</x:v>
      </x:c>
      <x:c r="H99" s="27" t="str">
        <x:v>协助除九头虫、夺回宝物。</x:v>
      </x:c>
      <x:c r="I99" s="27" t="str">
        <x:v>悟空外援网络继续发挥作用。</x:v>
      </x:c>
      <x:c r="J99" s="27" t="str">
        <x:v>外援网络</x:v>
      </x:c>
      <x:c r="K99" s="27" t="str">
        <x:v>待校核原文</x:v>
      </x:c>
      <x:c r="L99" s="27" t="str">
        <x:v>https://zh.wikisource.org/wiki/西游记/第六十三回</x:v>
      </x:c>
      <x:c r="M99" s="27"/>
      <x:c r="N99" s="27"/>
    </x:row>
    <x:row r="100" ht="26.399999618530273" hidden="0" customHeight="1">
      <x:c r="A100" s="27" t="str">
        <x:v>R100</x:v>
      </x:c>
      <x:c r="B100" s="27" t="str">
        <x:v>木仙庵树精</x:v>
      </x:c>
      <x:c r="C100" s="27" t="str">
        <x:v>诗文诱留</x:v>
      </x:c>
      <x:c r="D100" s="27" t="str">
        <x:v>唐僧</x:v>
      </x:c>
      <x:c r="E100" s="27" t="str">
        <x:v>第64回</x:v>
      </x:c>
      <x:c r="F100" s="27" t="str">
        <x:v>植物妖系统</x:v>
      </x:c>
      <x:c r="G100" s="27" t="str">
        <x:v>取经团队</x:v>
      </x:c>
      <x:c r="H100" s="27" t="str">
        <x:v>以诗文雅集形式牵留唐僧。</x:v>
      </x:c>
      <x:c r="I100" s="27" t="str">
        <x:v>柔性诱惑与文化包装会拖延使命。</x:v>
      </x:c>
      <x:c r="J100" s="27" t="str">
        <x:v>诱惑/滞留</x:v>
      </x:c>
      <x:c r="K100" s="27" t="str">
        <x:v>待校核原文</x:v>
      </x:c>
      <x:c r="L100" s="27" t="str">
        <x:v>https://zh.wikisource.org/wiki/西游记/第六十四回</x:v>
      </x:c>
      <x:c r="M100" s="27"/>
      <x:c r="N100" s="27"/>
    </x:row>
    <x:row r="101" ht="26.399999618530273" hidden="0" customHeight="1">
      <x:c r="A101" s="27" t="str">
        <x:v>R101</x:v>
      </x:c>
      <x:c r="B101" s="27" t="str">
        <x:v>猪八戒</x:v>
      </x:c>
      <x:c r="C101" s="27" t="str">
        <x:v>开路破障</x:v>
      </x:c>
      <x:c r="D101" s="27" t="str">
        <x:v>荆棘岭</x:v>
      </x:c>
      <x:c r="E101" s="27" t="str">
        <x:v>第64回</x:v>
      </x:c>
      <x:c r="F101" s="27" t="str">
        <x:v>取经团队</x:v>
      </x:c>
      <x:c r="G101" s="27" t="str">
        <x:v>自然/植物障碍</x:v>
      </x:c>
      <x:c r="H101" s="27" t="str">
        <x:v>八戒努力开路，破除荆棘。</x:v>
      </x:c>
      <x:c r="I101" s="27" t="str">
        <x:v>看似粗朴的执行力在关键时刻有真实价值。</x:v>
      </x:c>
      <x:c r="J101" s="27" t="str">
        <x:v>执行→破障</x:v>
      </x:c>
      <x:c r="K101" s="27" t="str">
        <x:v>待校核原文</x:v>
      </x:c>
      <x:c r="L101" s="27" t="str">
        <x:v>https://zh.wikisource.org/wiki/西游记/第六十四回</x:v>
      </x:c>
      <x:c r="M101" s="27"/>
      <x:c r="N101" s="27"/>
    </x:row>
    <x:row r="102" ht="26.399999618530273" hidden="0" customHeight="1">
      <x:c r="A102" s="27" t="str">
        <x:v>R102</x:v>
      </x:c>
      <x:c r="B102" s="27" t="str">
        <x:v>黄眉老怪</x:v>
      </x:c>
      <x:c r="C102" s="27" t="str">
        <x:v>假冒权威</x:v>
      </x:c>
      <x:c r="D102" s="27" t="str">
        <x:v>小雷音寺</x:v>
      </x:c>
      <x:c r="E102" s="27" t="str">
        <x:v>第65回</x:v>
      </x:c>
      <x:c r="F102" s="27" t="str">
        <x:v>弥勒系统外溢</x:v>
      </x:c>
      <x:c r="G102" s="27" t="str">
        <x:v>佛门象征系统</x:v>
      </x:c>
      <x:c r="H102" s="27" t="str">
        <x:v>假设小雷音寺，使师徒误入。</x:v>
      </x:c>
      <x:c r="I102" s="27" t="str">
        <x:v>仿冒权威可利用既有信任结构。</x:v>
      </x:c>
      <x:c r="J102" s="27" t="str">
        <x:v>伪权威</x:v>
      </x:c>
      <x:c r="K102" s="27" t="str">
        <x:v>待校核原文</x:v>
      </x:c>
      <x:c r="L102" s="27" t="str">
        <x:v>https://zh.wikisource.org/wiki/西游记/第六十五回</x:v>
      </x:c>
      <x:c r="M102" s="27"/>
      <x:c r="N102" s="27"/>
    </x:row>
    <x:row r="103" ht="26.399999618530273" hidden="0" customHeight="1">
      <x:c r="A103" s="27" t="str">
        <x:v>R103</x:v>
      </x:c>
      <x:c r="B103" s="27" t="str">
        <x:v>弥勒佛</x:v>
      </x:c>
      <x:c r="C103" s="27" t="str">
        <x:v>源头收束</x:v>
      </x:c>
      <x:c r="D103" s="27" t="str">
        <x:v>黄眉老怪</x:v>
      </x:c>
      <x:c r="E103" s="27" t="str">
        <x:v>第66回</x:v>
      </x:c>
      <x:c r="F103" s="27" t="str">
        <x:v>灵山/弥勒系统</x:v>
      </x:c>
      <x:c r="G103" s="27" t="str">
        <x:v>后台妖怪</x:v>
      </x:c>
      <x:c r="H103" s="27" t="str">
        <x:v>弥勒出面收伏司磬童子。</x:v>
      </x:c>
      <x:c r="I103" s="27" t="str">
        <x:v>源头系统对外溢人员和工具有最终责任。</x:v>
      </x:c>
      <x:c r="J103" s="27" t="str">
        <x:v>后台→收束</x:v>
      </x:c>
      <x:c r="K103" s="27" t="str">
        <x:v>待校核原文</x:v>
      </x:c>
      <x:c r="L103" s="27" t="str">
        <x:v>https://zh.wikisource.org/wiki/西游记/第六十六回</x:v>
      </x:c>
      <x:c r="M103" s="27"/>
      <x:c r="N103" s="27"/>
    </x:row>
    <x:row r="104" ht="26.399999618530273" hidden="0" customHeight="1">
      <x:c r="A104" s="27" t="str">
        <x:v>R104</x:v>
      </x:c>
      <x:c r="B104" s="27" t="str">
        <x:v>悟空等</x:v>
      </x:c>
      <x:c r="C104" s="27" t="str">
        <x:v>降伏清障</x:v>
      </x:c>
      <x:c r="D104" s="27" t="str">
        <x:v>蟒蛇精</x:v>
      </x:c>
      <x:c r="E104" s="27" t="str">
        <x:v>第67回</x:v>
      </x:c>
      <x:c r="F104" s="27" t="str">
        <x:v>取经团队</x:v>
      </x:c>
      <x:c r="G104" s="27" t="str">
        <x:v>地方妖怪</x:v>
      </x:c>
      <x:c r="H104" s="27" t="str">
        <x:v>降伏蟒蛇精并清理秽污。</x:v>
      </x:c>
      <x:c r="I104" s="27" t="str">
        <x:v>降妖与清理环境积弊并行。</x:v>
      </x:c>
      <x:c r="J104" s="27" t="str">
        <x:v>治理/清障</x:v>
      </x:c>
      <x:c r="K104" s="27" t="str">
        <x:v>待校核原文</x:v>
      </x:c>
      <x:c r="L104" s="27" t="str">
        <x:v>https://zh.wikisource.org/wiki/西游记/第六十七回</x:v>
      </x:c>
      <x:c r="M104" s="27"/>
      <x:c r="N104" s="27"/>
    </x:row>
    <x:row r="105" ht="26.399999618530273" hidden="0" customHeight="1">
      <x:c r="A105" s="27" t="str">
        <x:v>R104</x:v>
      </x:c>
      <x:c r="B105" s="27" t="str">
        <x:v>朱紫国王</x:v>
      </x:c>
      <x:c r="C105" s="27" t="str">
        <x:v>求医/托付</x:v>
      </x:c>
      <x:c r="D105" s="27" t="str">
        <x:v>孙悟空</x:v>
      </x:c>
      <x:c r="E105" s="27" t="str">
        <x:v>第68回</x:v>
      </x:c>
      <x:c r="F105" s="27" t="str">
        <x:v>人间王权</x:v>
      </x:c>
      <x:c r="G105" s="27" t="str">
        <x:v>取经团队</x:v>
      </x:c>
      <x:c r="H105" s="27" t="str">
        <x:v>国王久病，悟空以医者身份介入。</x:v>
      </x:c>
      <x:c r="I105" s="27" t="str">
        <x:v>取经团队不只是降妖，也承担救国与修复秩序功能。</x:v>
      </x:c>
      <x:c r="J105" s="27" t="str">
        <x:v>求助→治理介入</x:v>
      </x:c>
      <x:c r="K105" s="27" t="str">
        <x:v>待校核原文</x:v>
      </x:c>
      <x:c r="L105" s="27" t="str">
        <x:v>https://zh.wikisource.org/wiki/西游记/第六十八回</x:v>
      </x:c>
      <x:c r="M105" s="27"/>
      <x:c r="N105" s="27"/>
    </x:row>
    <x:row r="106" ht="26.399999618530273" hidden="0" customHeight="1">
      <x:c r="A106" s="27" t="str">
        <x:v>R105</x:v>
      </x:c>
      <x:c r="B106" s="27" t="str">
        <x:v>朱紫国王</x:v>
      </x:c>
      <x:c r="C106" s="27" t="str">
        <x:v>夫妻/旧案根源</x:v>
      </x:c>
      <x:c r="D106" s="27" t="str">
        <x:v>金圣宫娘娘</x:v>
      </x:c>
      <x:c r="E106" s="27" t="str">
        <x:v>第69—71回</x:v>
      </x:c>
      <x:c r="F106" s="27" t="str">
        <x:v>人间王权</x:v>
      </x:c>
      <x:c r="G106" s="27" t="str">
        <x:v>人间后宫</x:v>
      </x:c>
      <x:c r="H106" s="27" t="str">
        <x:v>金圣宫被掳造成国王久病与国家失衡。</x:v>
      </x:c>
      <x:c r="I106" s="27" t="str">
        <x:v>后宫被掳与王权失序关联。</x:v>
      </x:c>
      <x:c r="J106" s="27" t="str">
        <x:v>夫妻/秩序断裂</x:v>
      </x:c>
      <x:c r="K106" s="27" t="str">
        <x:v>待校核原文</x:v>
      </x:c>
      <x:c r="L106" s="27" t="str">
        <x:v>https://zh.wikisource.org/wiki/西游记/第六十九回</x:v>
      </x:c>
      <x:c r="M106" s="27"/>
      <x:c r="N106" s="27"/>
    </x:row>
    <x:row r="107" ht="26.399999618530273" hidden="0" customHeight="1">
      <x:c r="A107" s="27" t="str">
        <x:v>R106</x:v>
      </x:c>
      <x:c r="B107" s="27" t="str">
        <x:v>赛太岁/金毛犼</x:v>
      </x:c>
      <x:c r="C107" s="27" t="str">
        <x:v>劫掠/占有</x:v>
      </x:c>
      <x:c r="D107" s="27" t="str">
        <x:v>金圣宫娘娘</x:v>
      </x:c>
      <x:c r="E107" s="27" t="str">
        <x:v>第69—71回</x:v>
      </x:c>
      <x:c r="F107" s="27" t="str">
        <x:v>观音坐骑外溢</x:v>
      </x:c>
      <x:c r="G107" s="27" t="str">
        <x:v>朱紫国后宫</x:v>
      </x:c>
      <x:c r="H107" s="27" t="str">
        <x:v>赛太岁掳金圣宫至洞府。</x:v>
      </x:c>
      <x:c r="I107" s="27" t="str">
        <x:v>色欲、权力与后台资源结合的风险。</x:v>
      </x:c>
      <x:c r="J107" s="27" t="str">
        <x:v>妖怪→受害者</x:v>
      </x:c>
      <x:c r="K107" s="27" t="str">
        <x:v>待校核原文</x:v>
      </x:c>
      <x:c r="L107" s="27" t="str">
        <x:v>https://zh.wikisource.org/wiki/西游记/第七十回</x:v>
      </x:c>
      <x:c r="M107" s="27"/>
      <x:c r="N107" s="27"/>
    </x:row>
    <x:row r="108" ht="26.399999618530273" hidden="0" customHeight="1">
      <x:c r="A108" s="27" t="str">
        <x:v>R107</x:v>
      </x:c>
      <x:c r="B108" s="27" t="str">
        <x:v>赛太岁/金毛犼</x:v>
      </x:c>
      <x:c r="C108" s="27" t="str">
        <x:v>携带/依赖</x:v>
      </x:c>
      <x:c r="D108" s="27" t="str">
        <x:v>紫金铃</x:v>
      </x:c>
      <x:c r="E108" s="27" t="str">
        <x:v>第70回</x:v>
      </x:c>
      <x:c r="F108" s="27" t="str">
        <x:v>观音坐骑外溢</x:v>
      </x:c>
      <x:c r="G108" s="27" t="str">
        <x:v>法宝资源</x:v>
      </x:c>
      <x:c r="H108" s="27" t="str">
        <x:v>紫金铃构成其核心威胁能力。</x:v>
      </x:c>
      <x:c r="I108" s="27" t="str">
        <x:v>后台妖怪的危害常由系统资源放大。</x:v>
      </x:c>
      <x:c r="J108" s="27" t="str">
        <x:v>妖怪→法宝</x:v>
      </x:c>
      <x:c r="K108" s="27" t="str">
        <x:v>待校核原文</x:v>
      </x:c>
      <x:c r="L108" s="27" t="str">
        <x:v>https://zh.wikisource.org/wiki/西游记/第七十回</x:v>
      </x:c>
      <x:c r="M108" s="27"/>
      <x:c r="N108" s="27"/>
    </x:row>
    <x:row r="109" ht="26.399999618530273" hidden="0" customHeight="1">
      <x:c r="A109" s="27" t="str">
        <x:v>R108</x:v>
      </x:c>
      <x:c r="B109" s="27" t="str">
        <x:v>孙悟空</x:v>
      </x:c>
      <x:c r="C109" s="27" t="str">
        <x:v>盗取/反制</x:v>
      </x:c>
      <x:c r="D109" s="27" t="str">
        <x:v>紫金铃</x:v>
      </x:c>
      <x:c r="E109" s="27" t="str">
        <x:v>第70回</x:v>
      </x:c>
      <x:c r="F109" s="27" t="str">
        <x:v>取经团队</x:v>
      </x:c>
      <x:c r="G109" s="27" t="str">
        <x:v>法宝资源</x:v>
      </x:c>
      <x:c r="H109" s="27" t="str">
        <x:v>悟空通过变化和计谋取得紫金铃。</x:v>
      </x:c>
      <x:c r="I109" s="27" t="str">
        <x:v>破局关键在识别并夺取控制点。</x:v>
      </x:c>
      <x:c r="J109" s="27" t="str">
        <x:v>反制→关键资源</x:v>
      </x:c>
      <x:c r="K109" s="27" t="str">
        <x:v>待校核原文</x:v>
      </x:c>
      <x:c r="L109" s="27" t="str">
        <x:v>https://zh.wikisource.org/wiki/西游记/第七十回</x:v>
      </x:c>
      <x:c r="M109" s="27"/>
      <x:c r="N109" s="27"/>
    </x:row>
    <x:row r="110" ht="26.399999618530273" hidden="0" customHeight="1">
      <x:c r="A110" s="27" t="str">
        <x:v>R109</x:v>
      </x:c>
      <x:c r="B110" s="27" t="str">
        <x:v>观音</x:v>
      </x:c>
      <x:c r="C110" s="27" t="str">
        <x:v>认领/收回</x:v>
      </x:c>
      <x:c r="D110" s="27" t="str">
        <x:v>赛太岁/金毛犼</x:v>
      </x:c>
      <x:c r="E110" s="27" t="str">
        <x:v>第71回</x:v>
      </x:c>
      <x:c r="F110" s="27" t="str">
        <x:v>观音系统</x:v>
      </x:c>
      <x:c r="G110" s="27" t="str">
        <x:v>坐骑系统</x:v>
      </x:c>
      <x:c r="H110" s="27" t="str">
        <x:v>观音现身收回金毛犼。</x:v>
      </x:c>
      <x:c r="I110" s="27" t="str">
        <x:v>后台系统最终收束外溢风险。</x:v>
      </x:c>
      <x:c r="J110" s="27" t="str">
        <x:v>后台→收束</x:v>
      </x:c>
      <x:c r="K110" s="27" t="str">
        <x:v>待校核原文</x:v>
      </x:c>
      <x:c r="L110" s="27" t="str">
        <x:v>https://zh.wikisource.org/wiki/西游记/第七十一回</x:v>
      </x:c>
      <x:c r="M110" s="27"/>
      <x:c r="N110" s="27"/>
    </x:row>
    <x:row r="111" ht="26.399999618530273" hidden="0" customHeight="1">
      <x:c r="A111" s="27" t="str">
        <x:v>R110</x:v>
      </x:c>
      <x:c r="B111" s="27" t="str">
        <x:v>孙悟空</x:v>
      </x:c>
      <x:c r="C111" s="27" t="str">
        <x:v>救回/秩序恢复</x:v>
      </x:c>
      <x:c r="D111" s="27" t="str">
        <x:v>金圣宫娘娘</x:v>
      </x:c>
      <x:c r="E111" s="27" t="str">
        <x:v>第71回</x:v>
      </x:c>
      <x:c r="F111" s="27" t="str">
        <x:v>取经团队</x:v>
      </x:c>
      <x:c r="G111" s="27" t="str">
        <x:v>人间后宫</x:v>
      </x:c>
      <x:c r="H111" s="27" t="str">
        <x:v>悟空协助金圣宫回归朱紫国。</x:v>
      </x:c>
      <x:c r="I111" s="27" t="str">
        <x:v>降妖结果落实为人间秩序恢复。</x:v>
      </x:c>
      <x:c r="J111" s="27" t="str">
        <x:v>救援→复位</x:v>
      </x:c>
      <x:c r="K111" s="27" t="str">
        <x:v>待校核原文</x:v>
      </x:c>
      <x:c r="L111" s="27" t="str">
        <x:v>https://zh.wikisource.org/wiki/西游记/第七十一回</x:v>
      </x:c>
      <x:c r="M111" s="27"/>
      <x:c r="N111" s="27"/>
    </x:row>
    <x:row r="112">
      <x:c r="A112" s="27" t="str">
        <x:v>R110</x:v>
      </x:c>
      <x:c r="B112" s="27" t="str">
        <x:v>蜘蛛精</x:v>
      </x:c>
      <x:c r="C112" s="27" t="str">
        <x:v>诱捕/缠缚</x:v>
      </x:c>
      <x:c r="D112" s="27" t="str">
        <x:v>唐僧</x:v>
      </x:c>
      <x:c r="E112" s="27" t="str">
        <x:v>第72回</x:v>
      </x:c>
      <x:c r="F112" s="27" t="str">
        <x:v>盘丝洞系统</x:v>
      </x:c>
      <x:c r="G112" s="27" t="str">
        <x:v>取经团队</x:v>
      </x:c>
      <x:c r="H112" s="27" t="str">
        <x:v>蜘蛛精以盘丝洞场景困住唐僧。</x:v>
      </x:c>
      <x:c r="I112" s="27" t="str">
        <x:v>诱惑风险与身体风险进入取经主线。</x:v>
      </x:c>
      <x:c r="J112" s="27" t="str">
        <x:v>妖怪→取经人</x:v>
      </x:c>
      <x:c r="K112" s="27" t="str">
        <x:v>待校核原文</x:v>
      </x:c>
      <x:c r="L112" s="27" t="str">
        <x:v>https://zh.wikisource.org/wiki/西游记/第72回</x:v>
      </x:c>
      <x:c r="M112" s="27"/>
      <x:c r="N112" s="27"/>
    </x:row>
    <x:row r="113">
      <x:c r="A113" s="27" t="str">
        <x:v>R111</x:v>
      </x:c>
      <x:c r="B113" s="27" t="str">
        <x:v>猪八戒</x:v>
      </x:c>
      <x:c r="C113" s="27" t="str">
        <x:v>忘形/误入风险</x:v>
      </x:c>
      <x:c r="D113" s="27" t="str">
        <x:v>蜘蛛精</x:v>
      </x:c>
      <x:c r="E113" s="27" t="str">
        <x:v>第72回</x:v>
      </x:c>
      <x:c r="F113" s="27" t="str">
        <x:v>取经团队</x:v>
      </x:c>
      <x:c r="G113" s="27" t="str">
        <x:v>盘丝洞系统</x:v>
      </x:c>
      <x:c r="H113" s="27" t="str">
        <x:v>八戒在濯垢泉见色忘形，反被蛛丝所困。</x:v>
      </x:c>
      <x:c r="I113" s="27" t="str">
        <x:v>成员自控失效会放大外部风险。</x:v>
      </x:c>
      <x:c r="J113" s="27" t="str">
        <x:v>团队成员→风险对象</x:v>
      </x:c>
      <x:c r="K113" s="27" t="str">
        <x:v>待校核原文</x:v>
      </x:c>
      <x:c r="L113" s="27" t="str">
        <x:v>https://zh.wikisource.org/wiki/西游记/第72回</x:v>
      </x:c>
      <x:c r="M113" s="27"/>
      <x:c r="N113" s="27"/>
    </x:row>
    <x:row r="114">
      <x:c r="A114" s="27" t="str">
        <x:v>R112</x:v>
      </x:c>
      <x:c r="B114" s="27" t="str">
        <x:v>蜘蛛精</x:v>
      </x:c>
      <x:c r="C114" s="27" t="str">
        <x:v>关联/引出</x:v>
      </x:c>
      <x:c r="D114" s="27" t="str">
        <x:v>蜈蚣精/多目怪</x:v>
      </x:c>
      <x:c r="E114" s="27" t="str">
        <x:v>第73回</x:v>
      </x:c>
      <x:c r="F114" s="27" t="str">
        <x:v>盘丝洞系统</x:v>
      </x:c>
      <x:c r="G114" s="27" t="str">
        <x:v>黄花观系统</x:v>
      </x:c>
      <x:c r="H114" s="27" t="str">
        <x:v>盘丝洞风险进一步引出黄花观多目怪。</x:v>
      </x:c>
      <x:c r="I114" s="27" t="str">
        <x:v>风险具有链条性，旧恨会二次放大。</x:v>
      </x:c>
      <x:c r="J114" s="27" t="str">
        <x:v>妖怪联盟/关系链</x:v>
      </x:c>
      <x:c r="K114" s="27" t="str">
        <x:v>待校核原文</x:v>
      </x:c>
      <x:c r="L114" s="27" t="str">
        <x:v>https://zh.wikisource.org/wiki/西游记/第73回</x:v>
      </x:c>
      <x:c r="M114" s="27"/>
      <x:c r="N114" s="27"/>
    </x:row>
    <x:row r="115">
      <x:c r="A115" s="27" t="str">
        <x:v>R113</x:v>
      </x:c>
      <x:c r="B115" s="27" t="str">
        <x:v>蜈蚣精/多目怪</x:v>
      </x:c>
      <x:c r="C115" s="27" t="str">
        <x:v>克制/伤害</x:v>
      </x:c>
      <x:c r="D115" s="27" t="str">
        <x:v>孙悟空</x:v>
      </x:c>
      <x:c r="E115" s="27" t="str">
        <x:v>第73回</x:v>
      </x:c>
      <x:c r="F115" s="27" t="str">
        <x:v>黄花观系统</x:v>
      </x:c>
      <x:c r="G115" s="27" t="str">
        <x:v>取经团队</x:v>
      </x:c>
      <x:c r="H115" s="27" t="str">
        <x:v>多目怪以金光毒眼使悟空受制。</x:v>
      </x:c>
      <x:c r="I115" s="27" t="str">
        <x:v>关键人才也有能力边界。</x:v>
      </x:c>
      <x:c r="J115" s="27" t="str">
        <x:v>妖怪→核心能力</x:v>
      </x:c>
      <x:c r="K115" s="27" t="str">
        <x:v>待校核原文</x:v>
      </x:c>
      <x:c r="L115" s="27" t="str">
        <x:v>https://zh.wikisource.org/wiki/西游记/第73回</x:v>
      </x:c>
      <x:c r="M115" s="27"/>
      <x:c r="N115" s="27"/>
    </x:row>
    <x:row r="116">
      <x:c r="A116" s="27" t="str">
        <x:v>R114</x:v>
      </x:c>
      <x:c r="B116" s="27" t="str">
        <x:v>毗蓝婆菩萨</x:v>
      </x:c>
      <x:c r="C116" s="27" t="str">
        <x:v>救援/破法</x:v>
      </x:c>
      <x:c r="D116" s="27" t="str">
        <x:v>孙悟空</x:v>
      </x:c>
      <x:c r="E116" s="27" t="str">
        <x:v>第73回</x:v>
      </x:c>
      <x:c r="F116" s="27" t="str">
        <x:v>佛门系统</x:v>
      </x:c>
      <x:c r="G116" s="27" t="str">
        <x:v>取经团队</x:v>
      </x:c>
      <x:c r="H116" s="27" t="str">
        <x:v>毗蓝婆以绣花针帮助悟空破多目怪。</x:v>
      </x:c>
      <x:c r="I116" s="27" t="str">
        <x:v>外部专家能以专门工具解决专门问题。</x:v>
      </x:c>
      <x:c r="J116" s="27" t="str">
        <x:v>救援→破局</x:v>
      </x:c>
      <x:c r="K116" s="27" t="str">
        <x:v>待校核原文</x:v>
      </x:c>
      <x:c r="L116" s="27" t="str">
        <x:v>https://zh.wikisource.org/wiki/西游记/第73回</x:v>
      </x:c>
      <x:c r="M116" s="27"/>
      <x:c r="N116" s="27"/>
    </x:row>
    <x:row r="117">
      <x:c r="A117" s="27" t="str">
        <x:v>R115</x:v>
      </x:c>
      <x:c r="B117" s="27" t="str">
        <x:v>毗蓝婆菩萨</x:v>
      </x:c>
      <x:c r="C117" s="27" t="str">
        <x:v>破法/收束</x:v>
      </x:c>
      <x:c r="D117" s="27" t="str">
        <x:v>蜈蚣精/多目怪</x:v>
      </x:c>
      <x:c r="E117" s="27" t="str">
        <x:v>第73回</x:v>
      </x:c>
      <x:c r="F117" s="27" t="str">
        <x:v>佛门系统</x:v>
      </x:c>
      <x:c r="G117" s="27" t="str">
        <x:v>黄花观系统</x:v>
      </x:c>
      <x:c r="H117" s="27" t="str">
        <x:v>毗蓝婆破除其金光毒眼。</x:v>
      </x:c>
      <x:c r="I117" s="27" t="str">
        <x:v>后台不明的高危妖怪仍可由专业系统收束。</x:v>
      </x:c>
      <x:c r="J117" s="27" t="str">
        <x:v>救援→妖怪</x:v>
      </x:c>
      <x:c r="K117" s="27" t="str">
        <x:v>待校核原文</x:v>
      </x:c>
      <x:c r="L117" s="27" t="str">
        <x:v>https://zh.wikisource.org/wiki/西游记/第73回</x:v>
      </x:c>
      <x:c r="M117" s="27"/>
      <x:c r="N117" s="27"/>
    </x:row>
    <x:row r="118">
      <x:c r="A118" s="27" t="str">
        <x:v>R116</x:v>
      </x:c>
      <x:c r="B118" s="27" t="str">
        <x:v>太白金星/长庚星</x:v>
      </x:c>
      <x:c r="C118" s="27" t="str">
        <x:v>预警/传报</x:v>
      </x:c>
      <x:c r="D118" s="27" t="str">
        <x:v>孙悟空</x:v>
      </x:c>
      <x:c r="E118" s="27" t="str">
        <x:v>第74回</x:v>
      </x:c>
      <x:c r="F118" s="27" t="str">
        <x:v>天庭系统</x:v>
      </x:c>
      <x:c r="G118" s="27" t="str">
        <x:v>取经团队</x:v>
      </x:c>
      <x:c r="H118" s="27" t="str">
        <x:v>太白金星向悟空传报狮驼岭三魔凶险。</x:v>
      </x:c>
      <x:c r="I118" s="27" t="str">
        <x:v>重大风险前置预警，改变处置策略。</x:v>
      </x:c>
      <x:c r="J118" s="27" t="str">
        <x:v>预警→核心执行</x:v>
      </x:c>
      <x:c r="K118" s="27" t="str">
        <x:v>待校核原文</x:v>
      </x:c>
      <x:c r="L118" s="27" t="str">
        <x:v>https://zh.wikisource.org/wiki/西游记/第七十四回</x:v>
      </x:c>
      <x:c r="M118" s="27"/>
      <x:c r="N118" s="27"/>
    </x:row>
    <x:row r="119">
      <x:c r="A119" s="27" t="str">
        <x:v>R117</x:v>
      </x:c>
      <x:c r="B119" s="27" t="str">
        <x:v>青狮精</x:v>
      </x:c>
      <x:c r="C119" s="27" t="str">
        <x:v>结盟/集团成员</x:v>
      </x:c>
      <x:c r="D119" s="27" t="str">
        <x:v>白象精</x:v>
      </x:c>
      <x:c r="E119" s="27" t="str">
        <x:v>第74—77回</x:v>
      </x:c>
      <x:c r="F119" s="27" t="str">
        <x:v>文殊坐骑外溢</x:v>
      </x:c>
      <x:c r="G119" s="27" t="str">
        <x:v>普贤坐骑外溢</x:v>
      </x:c>
      <x:c r="H119" s="27" t="str">
        <x:v>二者与大鹏组成狮驼岭三魔集团。</x:v>
      </x:c>
      <x:c r="I119" s="27" t="str">
        <x:v>后台妖怪从单体失控升级为集团化风险。</x:v>
      </x:c>
      <x:c r="J119" s="27" t="str">
        <x:v>妖怪联盟</x:v>
      </x:c>
      <x:c r="K119" s="27" t="str">
        <x:v>待校核原文</x:v>
      </x:c>
      <x:c r="L119" s="27" t="str">
        <x:v>https://zh.wikisource.org/wiki/西游记/第七十七回</x:v>
      </x:c>
      <x:c r="M119" s="27"/>
      <x:c r="N119" s="27"/>
    </x:row>
    <x:row r="120">
      <x:c r="A120" s="27" t="str">
        <x:v>R118</x:v>
      </x:c>
      <x:c r="B120" s="27" t="str">
        <x:v>青狮精、白象精</x:v>
      </x:c>
      <x:c r="C120" s="27" t="str">
        <x:v>结盟/集团成员</x:v>
      </x:c>
      <x:c r="D120" s="27" t="str">
        <x:v>大鹏金翅雕</x:v>
      </x:c>
      <x:c r="E120" s="27" t="str">
        <x:v>第74—77回</x:v>
      </x:c>
      <x:c r="F120" s="27" t="str">
        <x:v>坐骑后台系统</x:v>
      </x:c>
      <x:c r="G120" s="27" t="str">
        <x:v>如来相关系统</x:v>
      </x:c>
      <x:c r="H120" s="27" t="str">
        <x:v>三魔共同盘踞狮驼岭与狮驼国。</x:v>
      </x:c>
      <x:c r="I120" s="27" t="str">
        <x:v>多后台、多能力、多层级风险叠加。</x:v>
      </x:c>
      <x:c r="J120" s="27" t="str">
        <x:v>妖怪联盟</x:v>
      </x:c>
      <x:c r="K120" s="27" t="str">
        <x:v>待校核原文</x:v>
      </x:c>
      <x:c r="L120" s="27" t="str">
        <x:v>https://zh.wikisource.org/wiki/西游记/第七十七回</x:v>
      </x:c>
      <x:c r="M120" s="27"/>
      <x:c r="N120" s="27"/>
    </x:row>
    <x:row r="121">
      <x:c r="A121" s="27" t="str">
        <x:v>R119</x:v>
      </x:c>
      <x:c r="B121" s="27" t="str">
        <x:v>孙悟空</x:v>
      </x:c>
      <x:c r="C121" s="27" t="str">
        <x:v>侦察/变化潜入</x:v>
      </x:c>
      <x:c r="D121" s="27" t="str">
        <x:v>狮驼洞群妖</x:v>
      </x:c>
      <x:c r="E121" s="27" t="str">
        <x:v>第74回</x:v>
      </x:c>
      <x:c r="F121" s="27" t="str">
        <x:v>取经团队</x:v>
      </x:c>
      <x:c r="G121" s="27" t="str">
        <x:v>狮驼岭妖怪集团</x:v>
      </x:c>
      <x:c r="H121" s="27" t="str">
        <x:v>悟空以变化深入妖洞探查。</x:v>
      </x:c>
      <x:c r="I121" s="27" t="str">
        <x:v>复杂风险处置必须先掌握组织结构和真实态势。</x:v>
      </x:c>
      <x:c r="J121" s="27" t="str">
        <x:v>侦察→风险系统</x:v>
      </x:c>
      <x:c r="K121" s="27" t="str">
        <x:v>待校核原文</x:v>
      </x:c>
      <x:c r="L121" s="27" t="str">
        <x:v>https://zh.wikisource.org/wiki/西游记/第七十四回</x:v>
      </x:c>
      <x:c r="M121" s="24"/>
      <x:c r="N121" s="24"/>
    </x:row>
    <x:row r="122">
      <x:c r="A122" s="27" t="str">
        <x:v>R120</x:v>
      </x:c>
      <x:c r="B122" s="27" t="str">
        <x:v>青狮精</x:v>
      </x:c>
      <x:c r="C122" s="27" t="str">
        <x:v>吞噬/压制</x:v>
      </x:c>
      <x:c r="D122" s="27" t="str">
        <x:v>孙悟空</x:v>
      </x:c>
      <x:c r="E122" s="27" t="str">
        <x:v>第75回</x:v>
      </x:c>
      <x:c r="F122" s="27" t="str">
        <x:v>狮驼岭妖怪集团</x:v>
      </x:c>
      <x:c r="G122" s="27" t="str">
        <x:v>取经团队</x:v>
      </x:c>
      <x:c r="H122" s="27" t="str">
        <x:v>青狮吞下悟空，形成体内反制情节。</x:v>
      </x:c>
      <x:c r="I122" s="27" t="str">
        <x:v>强敌也有内部弱点，悟空从内部突破。</x:v>
      </x:c>
      <x:c r="J122" s="27" t="str">
        <x:v>妖怪→核心能力</x:v>
      </x:c>
      <x:c r="K122" s="27" t="str">
        <x:v>待校核原文</x:v>
      </x:c>
      <x:c r="L122" s="27" t="str">
        <x:v>https://zh.wikisource.org/wiki/西游记/第七十五回</x:v>
      </x:c>
      <x:c r="M122" s="24"/>
      <x:c r="N122" s="24"/>
    </x:row>
    <x:row r="123">
      <x:c r="A123" s="27" t="str">
        <x:v>R121</x:v>
      </x:c>
      <x:c r="B123" s="27" t="str">
        <x:v>孙悟空</x:v>
      </x:c>
      <x:c r="C123" s="27" t="str">
        <x:v>求援/请裁决</x:v>
      </x:c>
      <x:c r="D123" s="27" t="str">
        <x:v>如来</x:v>
      </x:c>
      <x:c r="E123" s="27" t="str">
        <x:v>第77回</x:v>
      </x:c>
      <x:c r="F123" s="27" t="str">
        <x:v>取经团队</x:v>
      </x:c>
      <x:c r="G123" s="27" t="str">
        <x:v>灵山系统</x:v>
      </x:c>
      <x:c r="H123" s="27" t="str">
        <x:v>悟空最终请如来出面收束狮驼岭三魔。</x:v>
      </x:c>
      <x:c r="I123" s="27" t="str">
        <x:v>极端风险需要最高层级协调。</x:v>
      </x:c>
      <x:c r="J123" s="27" t="str">
        <x:v>求援→最高权威</x:v>
      </x:c>
      <x:c r="K123" s="27" t="str">
        <x:v>待校核原文</x:v>
      </x:c>
      <x:c r="L123" s="27" t="str">
        <x:v>https://zh.wikisource.org/wiki/西游记/第七十七回</x:v>
      </x:c>
      <x:c r="M123" s="24"/>
      <x:c r="N123" s="24"/>
    </x:row>
    <x:row r="124">
      <x:c r="A124" s="27" t="str">
        <x:v>R122</x:v>
      </x:c>
      <x:c r="B124" s="27" t="str">
        <x:v>文殊菩萨</x:v>
      </x:c>
      <x:c r="C124" s="27" t="str">
        <x:v>认领/收回</x:v>
      </x:c>
      <x:c r="D124" s="27" t="str">
        <x:v>青狮精</x:v>
      </x:c>
      <x:c r="E124" s="27" t="str">
        <x:v>第77回</x:v>
      </x:c>
      <x:c r="F124" s="27" t="str">
        <x:v>佛门系统</x:v>
      </x:c>
      <x:c r="G124" s="27" t="str">
        <x:v>坐骑外溢</x:v>
      </x:c>
      <x:c r="H124" s="27" t="str">
        <x:v>文殊收回青狮。</x:v>
      </x:c>
      <x:c r="I124" s="27" t="str">
        <x:v>后台主体必须承担收束责任。</x:v>
      </x:c>
      <x:c r="J124" s="27" t="str">
        <x:v>后台→收束</x:v>
      </x:c>
      <x:c r="K124" s="27" t="str">
        <x:v>待校核原文</x:v>
      </x:c>
      <x:c r="L124" s="27" t="str">
        <x:v>https://zh.wikisource.org/wiki/西游记/第七十七回</x:v>
      </x:c>
      <x:c r="M124" s="24"/>
      <x:c r="N124" s="24"/>
    </x:row>
    <x:row r="125">
      <x:c r="A125" s="27" t="str">
        <x:v>R123</x:v>
      </x:c>
      <x:c r="B125" s="27" t="str">
        <x:v>普贤菩萨</x:v>
      </x:c>
      <x:c r="C125" s="27" t="str">
        <x:v>认领/收回</x:v>
      </x:c>
      <x:c r="D125" s="27" t="str">
        <x:v>白象精</x:v>
      </x:c>
      <x:c r="E125" s="27" t="str">
        <x:v>第77回</x:v>
      </x:c>
      <x:c r="F125" s="27" t="str">
        <x:v>佛门系统</x:v>
      </x:c>
      <x:c r="G125" s="27" t="str">
        <x:v>坐骑外溢</x:v>
      </x:c>
      <x:c r="H125" s="27" t="str">
        <x:v>普贤收回白象。</x:v>
      </x:c>
      <x:c r="I125" s="27" t="str">
        <x:v>后台主体必须承担收束责任。</x:v>
      </x:c>
      <x:c r="J125" s="27" t="str">
        <x:v>后台→收束</x:v>
      </x:c>
      <x:c r="K125" s="27" t="str">
        <x:v>待校核原文</x:v>
      </x:c>
      <x:c r="L125" s="27" t="str">
        <x:v>https://zh.wikisource.org/wiki/西游记/第七十七回</x:v>
      </x:c>
      <x:c r="M125" s="24"/>
      <x:c r="N125" s="24"/>
    </x:row>
    <x:row r="126">
      <x:c r="A126" s="27" t="str">
        <x:v>R124</x:v>
      </x:c>
      <x:c r="B126" s="27" t="str">
        <x:v>如来</x:v>
      </x:c>
      <x:c r="C126" s="27" t="str">
        <x:v>收伏/终局裁决</x:v>
      </x:c>
      <x:c r="D126" s="27" t="str">
        <x:v>大鹏金翅雕</x:v>
      </x:c>
      <x:c r="E126" s="27" t="str">
        <x:v>第77回</x:v>
      </x:c>
      <x:c r="F126" s="27" t="str">
        <x:v>灵山系统</x:v>
      </x:c>
      <x:c r="G126" s="27" t="str">
        <x:v>强后台妖怪</x:v>
      </x:c>
      <x:c r="H126" s="27" t="str">
        <x:v>如来亲自收伏大鹏。</x:v>
      </x:c>
      <x:c r="I126" s="27" t="str">
        <x:v>最复杂后台风险由最高权威裁决。</x:v>
      </x:c>
      <x:c r="J126" s="27" t="str">
        <x:v>最高权威→收束</x:v>
      </x:c>
      <x:c r="K126" s="27" t="str">
        <x:v>待校核原文</x:v>
      </x:c>
      <x:c r="L126" s="27" t="str">
        <x:v>https://zh.wikisource.org/wiki/西游记/第七十七回</x:v>
      </x:c>
      <x:c r="M126" s="24"/>
      <x:c r="N126" s="24"/>
    </x:row>
    <x:row r="127">
      <x:c r="A127" s="24" t="str">
        <x:v>R126</x:v>
      </x:c>
      <x:c r="B127" s="24" t="str">
        <x:v>白鹿精/国丈</x:v>
      </x:c>
      <x:c r="C127" s="24" t="str">
        <x:v>蛊惑/控制</x:v>
      </x:c>
      <x:c r="D127" s="24" t="str">
        <x:v>比丘国王</x:v>
      </x:c>
      <x:c r="E127" s="24" t="str">
        <x:v>第78回</x:v>
      </x:c>
      <x:c r="F127" s="24" t="str">
        <x:v>寿星坐骑/妖怪</x:v>
      </x:c>
      <x:c r="G127" s="24" t="str">
        <x:v>人间王权</x:v>
      </x:c>
      <x:c r="H127" s="24" t="str">
        <x:v>以长生药方迷惑国王，使儿童面临被害。</x:v>
      </x:c>
      <x:c r="I127" s="24" t="str">
        <x:v>王权被妖术与欲望操控。</x:v>
      </x:c>
      <x:c r="J127" s="24" t="str">
        <x:v>妖怪→王权控制</x:v>
      </x:c>
      <x:c r="K127" s="24" t="str">
        <x:v>待校核原文</x:v>
      </x:c>
      <x:c r="L127" s="24" t="str">
        <x:v>https://zh.wikisource.org/wiki/西游记/第七十八回</x:v>
      </x:c>
      <x:c r="M127" s="24"/>
      <x:c r="N127" s="24"/>
    </x:row>
    <x:row r="128">
      <x:c r="A128" s="24" t="str">
        <x:v>R127</x:v>
      </x:c>
      <x:c r="B128" s="24" t="str">
        <x:v>狐狸精/美后</x:v>
      </x:c>
      <x:c r="C128" s="24" t="str">
        <x:v>迷惑/共谋</x:v>
      </x:c>
      <x:c r="D128" s="24" t="str">
        <x:v>比丘国王</x:v>
      </x:c>
      <x:c r="E128" s="24" t="str">
        <x:v>第78—79回</x:v>
      </x:c>
      <x:c r="F128" s="24" t="str">
        <x:v>妖怪/宫廷</x:v>
      </x:c>
      <x:c r="G128" s="24" t="str">
        <x:v>人间王权</x:v>
      </x:c>
      <x:c r="H128" s="24" t="str">
        <x:v>入宫迷惑国王，与国丈形成宫廷风险链。</x:v>
      </x:c>
      <x:c r="I128" s="24" t="str">
        <x:v>色欲与权力合谋造成伦理失守。</x:v>
      </x:c>
      <x:c r="J128" s="24" t="str">
        <x:v>宫廷迷惑</x:v>
      </x:c>
      <x:c r="K128" s="24" t="str">
        <x:v>待校核原文</x:v>
      </x:c>
      <x:c r="L128" s="24" t="str">
        <x:v>https://zh.wikisource.org/wiki/西游记/第七十九回</x:v>
      </x:c>
      <x:c r="M128" s="24"/>
      <x:c r="N128" s="24"/>
    </x:row>
    <x:row r="129">
      <x:c r="A129" s="24" t="str">
        <x:v>R128</x:v>
      </x:c>
      <x:c r="B129" s="24" t="str">
        <x:v>孙悟空</x:v>
      </x:c>
      <x:c r="C129" s="24" t="str">
        <x:v>识妖/救护</x:v>
      </x:c>
      <x:c r="D129" s="24" t="str">
        <x:v>众小儿</x:v>
      </x:c>
      <x:c r="E129" s="24" t="str">
        <x:v>第78—79回</x:v>
      </x:c>
      <x:c r="F129" s="24" t="str">
        <x:v>取经团队</x:v>
      </x:c>
      <x:c r="G129" s="24" t="str">
        <x:v>比丘国百姓</x:v>
      </x:c>
      <x:c r="H129" s="24" t="str">
        <x:v>识破害童计划并救下众小儿。</x:v>
      </x:c>
      <x:c r="I129" s="24" t="str">
        <x:v>取经团队承担公共伦理救援角色。</x:v>
      </x:c>
      <x:c r="J129" s="24" t="str">
        <x:v>护法→儿童保护</x:v>
      </x:c>
      <x:c r="K129" s="24" t="str">
        <x:v>待校核原文</x:v>
      </x:c>
      <x:c r="L129" s="24" t="str">
        <x:v>https://zh.wikisource.org/wiki/西游记/第七十九回</x:v>
      </x:c>
      <x:c r="M129" s="24"/>
      <x:c r="N129" s="24"/>
    </x:row>
    <x:row r="130">
      <x:c r="A130" s="24" t="str">
        <x:v>R129</x:v>
      </x:c>
      <x:c r="B130" s="24" t="str">
        <x:v>南极老人</x:v>
      </x:c>
      <x:c r="C130" s="24" t="str">
        <x:v>主人/收回</x:v>
      </x:c>
      <x:c r="D130" s="24" t="str">
        <x:v>白鹿精</x:v>
      </x:c>
      <x:c r="E130" s="24" t="str">
        <x:v>第79回</x:v>
      </x:c>
      <x:c r="F130" s="24" t="str">
        <x:v>寿星系统</x:v>
      </x:c>
      <x:c r="G130" s="24" t="str">
        <x:v>坐骑妖怪</x:v>
      </x:c>
      <x:c r="H130" s="24" t="str">
        <x:v>南极老人出面认领并收回白鹿。</x:v>
      </x:c>
      <x:c r="I130" s="24" t="str">
        <x:v>后台坐骑失管与责任收束。</x:v>
      </x:c>
      <x:c r="J130" s="24" t="str">
        <x:v>后台→坐骑</x:v>
      </x:c>
      <x:c r="K130" s="24" t="str">
        <x:v>待校核原文</x:v>
      </x:c>
      <x:c r="L130" s="24" t="str">
        <x:v>https://zh.wikisource.org/wiki/西游记/第七十九回</x:v>
      </x:c>
      <x:c r="M130" s="24"/>
      <x:c r="N130" s="24"/>
    </x:row>
    <x:row r="131">
      <x:c r="A131" s="24" t="str">
        <x:v>R130</x:v>
      </x:c>
      <x:c r="B131" s="24" t="str">
        <x:v>唐僧</x:v>
      </x:c>
      <x:c r="C131" s="24" t="str">
        <x:v>慈悲救助/被诱捕</x:v>
      </x:c>
      <x:c r="D131" s="24" t="str">
        <x:v>地涌夫人</x:v>
      </x:c>
      <x:c r="E131" s="24" t="str">
        <x:v>第80—82回</x:v>
      </x:c>
      <x:c r="F131" s="24" t="str">
        <x:v>取经团队</x:v>
      </x:c>
      <x:c r="G131" s="24" t="str">
        <x:v>无底洞妖怪</x:v>
      </x:c>
      <x:c r="H131" s="24" t="str">
        <x:v>救助女子后被其摄入无底洞并逼婚。</x:v>
      </x:c>
      <x:c r="I131" s="24" t="str">
        <x:v>慈悲与边界的张力。</x:v>
      </x:c>
      <x:c r="J131" s="24" t="str">
        <x:v>救助→反噬</x:v>
      </x:c>
      <x:c r="K131" s="24" t="str">
        <x:v>待校核原文</x:v>
      </x:c>
      <x:c r="L131" s="24" t="str">
        <x:v>https://zh.wikisource.org/wiki/西游记/第八十回</x:v>
      </x:c>
      <x:c r="M131" s="24"/>
      <x:c r="N131" s="24"/>
    </x:row>
    <x:row r="132">
      <x:c r="A132" s="24" t="str">
        <x:v>R131</x:v>
      </x:c>
      <x:c r="B132" s="24" t="str">
        <x:v>孙悟空</x:v>
      </x:c>
      <x:c r="C132" s="24" t="str">
        <x:v>识别/追查</x:v>
      </x:c>
      <x:c r="D132" s="24" t="str">
        <x:v>地涌夫人</x:v>
      </x:c>
      <x:c r="E132" s="24" t="str">
        <x:v>第80—83回</x:v>
      </x:c>
      <x:c r="F132" s="24" t="str">
        <x:v>取经团队</x:v>
      </x:c>
      <x:c r="G132" s="24" t="str">
        <x:v>无底洞妖怪</x:v>
      </x:c>
      <x:c r="H132" s="24" t="str">
        <x:v>悟空识别妖邪并追查其真实来源。</x:v>
      </x:c>
      <x:c r="I132" s="24" t="str">
        <x:v>从现象处置转向来源追责。</x:v>
      </x:c>
      <x:c r="J132" s="24" t="str">
        <x:v>识别→溯源</x:v>
      </x:c>
      <x:c r="K132" s="24" t="str">
        <x:v>待校核原文</x:v>
      </x:c>
      <x:c r="L132" s="24" t="str">
        <x:v>https://zh.wikisource.org/wiki/西游记/第八十三回</x:v>
      </x:c>
      <x:c r="M132" s="24"/>
      <x:c r="N132" s="24"/>
    </x:row>
    <x:row r="133">
      <x:c r="A133" s="24" t="str">
        <x:v>R132</x:v>
      </x:c>
      <x:c r="B133" s="24" t="str">
        <x:v>地涌夫人</x:v>
      </x:c>
      <x:c r="C133" s="24" t="str">
        <x:v>义亲/供奉关系</x:v>
      </x:c>
      <x:c r="D133" s="24" t="str">
        <x:v>托塔天王</x:v>
      </x:c>
      <x:c r="E133" s="24" t="str">
        <x:v>第83回</x:v>
      </x:c>
      <x:c r="F133" s="24" t="str">
        <x:v>无底洞妖怪</x:v>
      </x:c>
      <x:c r="G133" s="24" t="str">
        <x:v>天庭系统</x:v>
      </x:c>
      <x:c r="H133" s="24" t="str">
        <x:v>妖怪与托塔天王存在义父关系。</x:v>
      </x:c>
      <x:c r="I133" s="24" t="str">
        <x:v>后台亲属关系成为风险来源。</x:v>
      </x:c>
      <x:c r="J133" s="24" t="str">
        <x:v>妖怪↔后台亲属</x:v>
      </x:c>
      <x:c r="K133" s="24" t="str">
        <x:v>待校核原文</x:v>
      </x:c>
      <x:c r="L133" s="24" t="str">
        <x:v>https://zh.wikisource.org/wiki/西游记/第八十三回</x:v>
      </x:c>
      <x:c r="M133" s="24"/>
      <x:c r="N133" s="24"/>
    </x:row>
    <x:row r="134">
      <x:c r="A134" s="24" t="str">
        <x:v>R133</x:v>
      </x:c>
      <x:c r="B134" s="24" t="str">
        <x:v>地涌夫人</x:v>
      </x:c>
      <x:c r="C134" s="24" t="str">
        <x:v>义亲/供奉关系</x:v>
      </x:c>
      <x:c r="D134" s="24" t="str">
        <x:v>哪吒</x:v>
      </x:c>
      <x:c r="E134" s="24" t="str">
        <x:v>第83回</x:v>
      </x:c>
      <x:c r="F134" s="24" t="str">
        <x:v>无底洞妖怪</x:v>
      </x:c>
      <x:c r="G134" s="24" t="str">
        <x:v>天庭系统</x:v>
      </x:c>
      <x:c r="H134" s="24" t="str">
        <x:v>与哪吒亦有关联，构成天庭关系链。</x:v>
      </x:c>
      <x:c r="I134" s="24" t="str">
        <x:v>后台关系不只垂直，也有横向亲属网络。</x:v>
      </x:c>
      <x:c r="J134" s="24" t="str">
        <x:v>妖怪↔后台亲属</x:v>
      </x:c>
      <x:c r="K134" s="24" t="str">
        <x:v>待校核原文</x:v>
      </x:c>
      <x:c r="L134" s="24" t="str">
        <x:v>https://zh.wikisource.org/wiki/西游记/第八十三回</x:v>
      </x:c>
      <x:c r="M134" s="24"/>
      <x:c r="N134" s="24"/>
    </x:row>
    <x:row r="135">
      <x:c r="A135" s="24" t="str">
        <x:v>R134</x:v>
      </x:c>
      <x:c r="B135" s="24" t="str">
        <x:v>孙悟空</x:v>
      </x:c>
      <x:c r="C135" s="24" t="str">
        <x:v>追责/对质</x:v>
      </x:c>
      <x:c r="D135" s="24" t="str">
        <x:v>托塔天王</x:v>
      </x:c>
      <x:c r="E135" s="24" t="str">
        <x:v>第83回</x:v>
      </x:c>
      <x:c r="F135" s="24" t="str">
        <x:v>取经团队</x:v>
      </x:c>
      <x:c r="G135" s="24" t="str">
        <x:v>天庭系统</x:v>
      </x:c>
      <x:c r="H135" s="24" t="str">
        <x:v>悟空上天追查妖怪来源，与李天王系统对质。</x:v>
      </x:c>
      <x:c r="I135" s="24" t="str">
        <x:v>外部监督推动后台系统出面。</x:v>
      </x:c>
      <x:c r="J135" s="24" t="str">
        <x:v>追责→后台</x:v>
      </x:c>
      <x:c r="K135" s="24" t="str">
        <x:v>待校核原文</x:v>
      </x:c>
      <x:c r="L135" s="24" t="str">
        <x:v>https://zh.wikisource.org/wiki/西游记/第八十三回</x:v>
      </x:c>
      <x:c r="M135" s="24"/>
      <x:c r="N135" s="24"/>
    </x:row>
    <x:row r="136">
      <x:c r="A136" s="24" t="str">
        <x:v>R135</x:v>
      </x:c>
      <x:c r="B136" s="24" t="str">
        <x:v>托塔天王/哪吒</x:v>
      </x:c>
      <x:c r="C136" s="24" t="str">
        <x:v>协同/收束</x:v>
      </x:c>
      <x:c r="D136" s="24" t="str">
        <x:v>地涌夫人</x:v>
      </x:c>
      <x:c r="E136" s="24" t="str">
        <x:v>第83回</x:v>
      </x:c>
      <x:c r="F136" s="24" t="str">
        <x:v>天庭系统</x:v>
      </x:c>
      <x:c r="G136" s="24" t="str">
        <x:v>无底洞妖怪</x:v>
      </x:c>
      <x:c r="H136" s="24" t="str">
        <x:v>天庭关系人出面协同收伏妖怪。</x:v>
      </x:c>
      <x:c r="I136" s="24" t="str">
        <x:v>亲属后台最终承担收束责任。</x:v>
      </x:c>
      <x:c r="J136" s="24" t="str">
        <x:v>后台→收束</x:v>
      </x:c>
      <x:c r="K136" s="24" t="str">
        <x:v>待校核原文</x:v>
      </x:c>
      <x:c r="L136" s="24" t="str">
        <x:v>https://zh.wikisource.org/wiki/西游记/第八十三回</x:v>
      </x:c>
      <x:c r="M136" s="24"/>
      <x:c r="N136" s="24"/>
    </x:row>
    <x:row r="137">
      <x:c r="A137" s="24" t="str">
        <x:v>R136</x:v>
      </x:c>
      <x:c r="B137" s="24" t="str">
        <x:v>灭法国王</x:v>
      </x:c>
      <x:c r="C137" s="24" t="str">
        <x:v>制度排斥/身份风险</x:v>
      </x:c>
      <x:c r="D137" s="24" t="str">
        <x:v>唐僧团队</x:v>
      </x:c>
      <x:c r="E137" s="24" t="str">
        <x:v>第84回</x:v>
      </x:c>
      <x:c r="F137" s="24" t="str">
        <x:v>人间王权系统</x:v>
      </x:c>
      <x:c r="G137" s="24" t="str">
        <x:v>取经团队</x:v>
      </x:c>
      <x:c r="H137" s="24" t="str">
        <x:v>国王以灭僧为政令，唐僧团队因僧人身份面临风险。</x:v>
      </x:c>
      <x:c r="I137" s="24" t="str">
        <x:v>制度性偏见对使命行动构成非妖怪型阻碍。</x:v>
      </x:c>
      <x:c r="J137" s="24" t="str">
        <x:v>王权→身份风险</x:v>
      </x:c>
      <x:c r="K137" s="24" t="str">
        <x:v>待校核原文</x:v>
      </x:c>
      <x:c r="L137" s="24" t="str">
        <x:v>https://zh.wikisource.org/wiki/西游记/第八十四回</x:v>
      </x:c>
      <x:c r="M137" s="24"/>
      <x:c r="N137" s="24"/>
    </x:row>
    <x:row r="138">
      <x:c r="A138" s="24" t="str">
        <x:v>R137</x:v>
      </x:c>
      <x:c r="B138" s="24" t="str">
        <x:v>孙悟空</x:v>
      </x:c>
      <x:c r="C138" s="24" t="str">
        <x:v>反转/化解</x:v>
      </x:c>
      <x:c r="D138" s="24" t="str">
        <x:v>灭法国王与群臣</x:v>
      </x:c>
      <x:c r="E138" s="24" t="str">
        <x:v>第84回</x:v>
      </x:c>
      <x:c r="F138" s="24" t="str">
        <x:v>取经团队</x:v>
      </x:c>
      <x:c r="G138" s="24" t="str">
        <x:v>人间王权系统</x:v>
      </x:c>
      <x:c r="H138" s="24" t="str">
        <x:v>悟空以剃发等方式使王臣体验身份反转，推动政策转向。</x:v>
      </x:c>
      <x:c r="I138" s="24" t="str">
        <x:v>象征性反转可以破除偏见。</x:v>
      </x:c>
      <x:c r="J138" s="24" t="str">
        <x:v>反制→改心</x:v>
      </x:c>
      <x:c r="K138" s="24" t="str">
        <x:v>待校核原文</x:v>
      </x:c>
      <x:c r="L138" s="24" t="str">
        <x:v>https://zh.wikisource.org/wiki/西游记/第八十四回</x:v>
      </x:c>
      <x:c r="M138" s="24"/>
      <x:c r="N138" s="24"/>
    </x:row>
    <x:row r="139">
      <x:c r="A139" s="24" t="str">
        <x:v>R138</x:v>
      </x:c>
      <x:c r="B139" s="24" t="str">
        <x:v>灭法国王</x:v>
      </x:c>
      <x:c r="C139" s="24" t="str">
        <x:v>改心/更名</x:v>
      </x:c>
      <x:c r="D139" s="24" t="str">
        <x:v>钦法国</x:v>
      </x:c>
      <x:c r="E139" s="24" t="str">
        <x:v>第84回</x:v>
      </x:c>
      <x:c r="F139" s="24" t="str">
        <x:v>人间王权系统</x:v>
      </x:c>
      <x:c r="G139" s="24" t="str">
        <x:v>人间制度系统</x:v>
      </x:c>
      <x:c r="H139" s="24" t="str">
        <x:v>灭法转为钦法，显示制度名称和价值方向的转变。</x:v>
      </x:c>
      <x:c r="I139" s="24" t="str">
        <x:v>制度修复需要价值重命名。</x:v>
      </x:c>
      <x:c r="J139" s="24" t="str">
        <x:v>制度转向</x:v>
      </x:c>
      <x:c r="K139" s="24" t="str">
        <x:v>待校核原文</x:v>
      </x:c>
      <x:c r="L139" s="24" t="str">
        <x:v>https://zh.wikisource.org/wiki/西游记/第八十四回</x:v>
      </x:c>
      <x:c r="M139" s="24"/>
      <x:c r="N139" s="24"/>
    </x:row>
    <x:row r="140">
      <x:c r="A140" s="24" t="str">
        <x:v>R139</x:v>
      </x:c>
      <x:c r="B140" s="24" t="str">
        <x:v>南山大王/豹子精</x:v>
      </x:c>
      <x:c r="C140" s="24" t="str">
        <x:v>诱捕/谋害</x:v>
      </x:c>
      <x:c r="D140" s="24" t="str">
        <x:v>唐僧</x:v>
      </x:c>
      <x:c r="E140" s="24" t="str">
        <x:v>第85—86回</x:v>
      </x:c>
      <x:c r="F140" s="24" t="str">
        <x:v>隐雾山妖怪系统</x:v>
      </x:c>
      <x:c r="G140" s="24" t="str">
        <x:v>取经团队</x:v>
      </x:c>
      <x:c r="H140" s="24" t="str">
        <x:v>豹子精一伙设谋擒唐僧。</x:v>
      </x:c>
      <x:c r="I140" s="24" t="str">
        <x:v>普通妖怪通过诱捕仍可造成取经中断。</x:v>
      </x:c>
      <x:c r="J140" s="24" t="str">
        <x:v>妖怪→诱捕</x:v>
      </x:c>
      <x:c r="K140" s="24" t="str">
        <x:v>待校核原文</x:v>
      </x:c>
      <x:c r="L140" s="24" t="str">
        <x:v>https://zh.wikisource.org/wiki/西游记/第八十五回</x:v>
      </x:c>
      <x:c r="M140" s="24"/>
      <x:c r="N140" s="24"/>
    </x:row>
    <x:row r="141">
      <x:c r="A141" s="24" t="str">
        <x:v>R140</x:v>
      </x:c>
      <x:c r="B141" s="24" t="str">
        <x:v>孙悟空</x:v>
      </x:c>
      <x:c r="C141" s="24" t="str">
        <x:v>侦察/识破</x:v>
      </x:c>
      <x:c r="D141" s="24" t="str">
        <x:v>南山大王/豹子精</x:v>
      </x:c>
      <x:c r="E141" s="24" t="str">
        <x:v>第85—86回</x:v>
      </x:c>
      <x:c r="F141" s="24" t="str">
        <x:v>取经团队</x:v>
      </x:c>
      <x:c r="G141" s="24" t="str">
        <x:v>隐雾山妖怪系统</x:v>
      </x:c>
      <x:c r="H141" s="24" t="str">
        <x:v>悟空识破妖谋并组织处置。</x:v>
      </x:c>
      <x:c r="I141" s="24" t="str">
        <x:v>常态风险依赖一线识别能力。</x:v>
      </x:c>
      <x:c r="J141" s="24" t="str">
        <x:v>识别→处置</x:v>
      </x:c>
      <x:c r="K141" s="24" t="str">
        <x:v>待校核原文</x:v>
      </x:c>
      <x:c r="L141" s="24" t="str">
        <x:v>https://zh.wikisource.org/wiki/西游记/第八十六回</x:v>
      </x:c>
      <x:c r="M141" s="24"/>
      <x:c r="N141" s="24"/>
    </x:row>
    <x:row r="142">
      <x:c r="A142" s="24" t="str">
        <x:v>R141</x:v>
      </x:c>
      <x:c r="B142" s="24" t="str">
        <x:v>猪八戒</x:v>
      </x:c>
      <x:c r="C142" s="24" t="str">
        <x:v>助战/协同</x:v>
      </x:c>
      <x:c r="D142" s="24" t="str">
        <x:v>孙悟空</x:v>
      </x:c>
      <x:c r="E142" s="24" t="str">
        <x:v>第86回</x:v>
      </x:c>
      <x:c r="F142" s="24" t="str">
        <x:v>取经团队</x:v>
      </x:c>
      <x:c r="G142" s="24" t="str">
        <x:v>取经团队</x:v>
      </x:c>
      <x:c r="H142" s="24" t="str">
        <x:v>八戒在隐雾山收束中助威协同。</x:v>
      </x:c>
      <x:c r="I142" s="24" t="str">
        <x:v>八戒在后半程多次由问题成员转为协同资源。</x:v>
      </x:c>
      <x:c r="J142" s="24" t="str">
        <x:v>团队协同</x:v>
      </x:c>
      <x:c r="K142" s="24" t="str">
        <x:v>待校核原文</x:v>
      </x:c>
      <x:c r="L142" s="24" t="str">
        <x:v>https://zh.wikisource.org/wiki/西游记/第八十六回</x:v>
      </x:c>
      <x:c r="M142" s="24"/>
      <x:c r="N142" s="24"/>
    </x:row>
    <x:row r="143">
      <x:c r="A143" s="24" t="str">
        <x:v>R142</x:v>
      </x:c>
      <x:c r="B143" s="24" t="str">
        <x:v>隐雾山小妖群</x:v>
      </x:c>
      <x:c r="C143" s="24" t="str">
        <x:v>执行/协同</x:v>
      </x:c>
      <x:c r="D143" s="24" t="str">
        <x:v>南山大王/豹子精</x:v>
      </x:c>
      <x:c r="E143" s="24" t="str">
        <x:v>第85—86回</x:v>
      </x:c>
      <x:c r="F143" s="24" t="str">
        <x:v>隐雾山妖怪系统</x:v>
      </x:c>
      <x:c r="G143" s="24" t="str">
        <x:v>隐雾山妖怪系统</x:v>
      </x:c>
      <x:c r="H143" s="24" t="str">
        <x:v>小妖执行诱捕、传递信息与洞府运作。</x:v>
      </x:c>
      <x:c r="I143" s="24" t="str">
        <x:v>小型妖怪组织也有执行链条。</x:v>
      </x:c>
      <x:c r="J143" s="24" t="str">
        <x:v>组织内部边</x:v>
      </x:c>
      <x:c r="K143" s="24" t="str">
        <x:v>待校核原文</x:v>
      </x:c>
      <x:c r="L143" s="24" t="str">
        <x:v>https://zh.wikisource.org/wiki/西游记/第八十五回</x:v>
      </x:c>
      <x:c r="M143" s="24"/>
      <x:c r="N143" s="24"/>
    </x:row>
    <x:row r="144">
      <x:c r="A144" s="27" t="str">
        <x:v>R143</x:v>
      </x:c>
      <x:c r="B144" s="27" t="str">
        <x:v>凤仙郡侯</x:v>
      </x:c>
      <x:c r="C144" s="27" t="str">
        <x:v>冒犯/失德</x:v>
      </x:c>
      <x:c r="D144" s="27" t="str">
        <x:v>天庭降雨系统</x:v>
      </x:c>
      <x:c r="E144" s="27" t="str">
        <x:v>第87回</x:v>
      </x:c>
      <x:c r="F144" s="27" t="str">
        <x:v>人间地方治理系统</x:v>
      </x:c>
      <x:c r="G144" s="27" t="str">
        <x:v>天庭系统</x:v>
      </x:c>
      <x:c r="H144" s="27" t="str">
        <x:v>凤仙郡久旱与地方失德相连，须悔过方可求雨。</x:v>
      </x:c>
      <x:c r="I144" s="27" t="str">
        <x:v>地方治理与上级资源之间存在德政/秩序关系。</x:v>
      </x:c>
      <x:c r="J144" s="27" t="str">
        <x:v>人间→天庭</x:v>
      </x:c>
      <x:c r="K144" s="27" t="str">
        <x:v>待校核原文</x:v>
      </x:c>
      <x:c r="L144" s="27" t="str">
        <x:v>https://zh.wikisource.org/wiki/西游记/第八十七回</x:v>
      </x:c>
      <x:c r="M144" s="24"/>
      <x:c r="N144" s="24"/>
    </x:row>
    <x:row r="145">
      <x:c r="A145" s="27" t="str">
        <x:v>R144</x:v>
      </x:c>
      <x:c r="B145" s="27" t="str">
        <x:v>孙悟空</x:v>
      </x:c>
      <x:c r="C145" s="27" t="str">
        <x:v>协调/求雨</x:v>
      </x:c>
      <x:c r="D145" s="27" t="str">
        <x:v>玉帝与雷部</x:v>
      </x:c>
      <x:c r="E145" s="27" t="str">
        <x:v>第87回</x:v>
      </x:c>
      <x:c r="F145" s="27" t="str">
        <x:v>取经团队</x:v>
      </x:c>
      <x:c r="G145" s="27" t="str">
        <x:v>天庭系统</x:v>
      </x:c>
      <x:c r="H145" s="27" t="str">
        <x:v>悟空上天求雨，协调天庭降雨资源。</x:v>
      </x:c>
      <x:c r="I145" s="27" t="str">
        <x:v>取经团队具有跨系统协调能力。</x:v>
      </x:c>
      <x:c r="J145" s="27" t="str">
        <x:v>协调→资源</x:v>
      </x:c>
      <x:c r="K145" s="27" t="str">
        <x:v>待校核原文</x:v>
      </x:c>
      <x:c r="L145" s="27" t="str">
        <x:v>https://zh.wikisource.org/wiki/西游记/第八十七回</x:v>
      </x:c>
      <x:c r="M145" s="24"/>
      <x:c r="N145" s="24"/>
    </x:row>
    <x:row r="146">
      <x:c r="A146" s="27" t="str">
        <x:v>R145</x:v>
      </x:c>
      <x:c r="B146" s="27" t="str">
        <x:v>孙悟空</x:v>
      </x:c>
      <x:c r="C146" s="27" t="str">
        <x:v>劝善/纠偏</x:v>
      </x:c>
      <x:c r="D146" s="27" t="str">
        <x:v>凤仙郡侯</x:v>
      </x:c>
      <x:c r="E146" s="27" t="str">
        <x:v>第87回</x:v>
      </x:c>
      <x:c r="F146" s="27" t="str">
        <x:v>取经团队</x:v>
      </x:c>
      <x:c r="G146" s="27" t="str">
        <x:v>人间地方治理系统</x:v>
      </x:c>
      <x:c r="H146" s="27" t="str">
        <x:v>悟空不只降妖，也劝地方官悔过修德。</x:v>
      </x:c>
      <x:c r="I146" s="27" t="str">
        <x:v>悟空后半程角色拓展为治理协调者。</x:v>
      </x:c>
      <x:c r="J146" s="27" t="str">
        <x:v>劝导→改心</x:v>
      </x:c>
      <x:c r="K146" s="27" t="str">
        <x:v>待校核原文</x:v>
      </x:c>
      <x:c r="L146" s="27" t="str">
        <x:v>https://zh.wikisource.org/wiki/西游记/第八十七回</x:v>
      </x:c>
      <x:c r="M146" s="24"/>
      <x:c r="N146" s="24"/>
    </x:row>
    <x:row r="147">
      <x:c r="A147" s="27" t="str">
        <x:v>R146</x:v>
      </x:c>
      <x:c r="B147" s="27" t="str">
        <x:v>玉华州三王子</x:v>
      </x:c>
      <x:c r="C147" s="27" t="str">
        <x:v>拜师/学艺</x:v>
      </x:c>
      <x:c r="D147" s="27" t="str">
        <x:v>孙悟空、猪八戒、沙僧</x:v>
      </x:c>
      <x:c r="E147" s="27" t="str">
        <x:v>第88回</x:v>
      </x:c>
      <x:c r="F147" s="27" t="str">
        <x:v>人间王权系统</x:v>
      </x:c>
      <x:c r="G147" s="27" t="str">
        <x:v>取经团队</x:v>
      </x:c>
      <x:c r="H147" s="27" t="str">
        <x:v>三王子分别向三徒学艺。</x:v>
      </x:c>
      <x:c r="I147" s="27" t="str">
        <x:v>取经团队开始承担传承者角色。</x:v>
      </x:c>
      <x:c r="J147" s="27" t="str">
        <x:v>学习→传承</x:v>
      </x:c>
      <x:c r="K147" s="27" t="str">
        <x:v>待校核原文</x:v>
      </x:c>
      <x:c r="L147" s="27" t="str">
        <x:v>https://zh.wikisource.org/wiki/西游记/第八十八回</x:v>
      </x:c>
      <x:c r="M147" s="24"/>
      <x:c r="N147" s="24"/>
    </x:row>
    <x:row r="148">
      <x:c r="A148" s="27" t="str">
        <x:v>R147</x:v>
      </x:c>
      <x:c r="B148" s="27" t="str">
        <x:v>黄狮精</x:v>
      </x:c>
      <x:c r="C148" s="27" t="str">
        <x:v>盗取/占有</x:v>
      </x:c>
      <x:c r="D148" s="27" t="str">
        <x:v>三徒兵器</x:v>
      </x:c>
      <x:c r="E148" s="27" t="str">
        <x:v>第89回</x:v>
      </x:c>
      <x:c r="F148" s="27" t="str">
        <x:v>豹头山妖怪系统</x:v>
      </x:c>
      <x:c r="G148" s="27" t="str">
        <x:v>取经团队资源</x:v>
      </x:c>
      <x:c r="H148" s="27" t="str">
        <x:v>黄狮精盗走金箍棒、钉钯、禅杖等兵器。</x:v>
      </x:c>
      <x:c r="I148" s="27" t="str">
        <x:v>关键资源外泄会动摇团队战斗力与身份象征。</x:v>
      </x:c>
      <x:c r="J148" s="27" t="str">
        <x:v>盗取→资源风险</x:v>
      </x:c>
      <x:c r="K148" s="27" t="str">
        <x:v>待校核原文</x:v>
      </x:c>
      <x:c r="L148" s="27" t="str">
        <x:v>https://zh.wikisource.org/wiki/西游记/第八十九回</x:v>
      </x:c>
      <x:c r="M148" s="24"/>
      <x:c r="N148" s="24"/>
    </x:row>
    <x:row r="149">
      <x:c r="A149" s="27" t="str">
        <x:v>R148</x:v>
      </x:c>
      <x:c r="B149" s="27" t="str">
        <x:v>孙悟空、猪八戒、沙僧</x:v>
      </x:c>
      <x:c r="C149" s="27" t="str">
        <x:v>潜入/反制</x:v>
      </x:c>
      <x:c r="D149" s="27" t="str">
        <x:v>黄狮精</x:v>
      </x:c>
      <x:c r="E149" s="27" t="str">
        <x:v>第89回</x:v>
      </x:c>
      <x:c r="F149" s="27" t="str">
        <x:v>取经团队</x:v>
      </x:c>
      <x:c r="G149" s="27" t="str">
        <x:v>豹头山妖怪系统</x:v>
      </x:c>
      <x:c r="H149" s="27" t="str">
        <x:v>三徒用变化计混入妖洞，夺回兵器并闹山。</x:v>
      </x:c>
      <x:c r="I149" s="27" t="str">
        <x:v>成熟团队能用计谋、协同和角色分工解决资源风险。</x:v>
      </x:c>
      <x:c r="J149" s="27" t="str">
        <x:v>协同→反制</x:v>
      </x:c>
      <x:c r="K149" s="27" t="str">
        <x:v>待校核原文</x:v>
      </x:c>
      <x:c r="L149" s="27" t="str">
        <x:v>https://zh.wikisource.org/wiki/西游记/第八十九回</x:v>
      </x:c>
      <x:c r="M149" s="24"/>
      <x:c r="N149" s="24"/>
    </x:row>
    <x:row r="150">
      <x:c r="A150" s="27" t="str">
        <x:v>R149</x:v>
      </x:c>
      <x:c r="B150" s="27" t="str">
        <x:v>黄狮精</x:v>
      </x:c>
      <x:c r="C150" s="27" t="str">
        <x:v>关联/引出</x:v>
      </x:c>
      <x:c r="D150" s="27" t="str">
        <x:v>九灵元圣</x:v>
      </x:c>
      <x:c r="E150" s="27" t="str">
        <x:v>第90回</x:v>
      </x:c>
      <x:c r="F150" s="27" t="str">
        <x:v>豹头山妖怪系统</x:v>
      </x:c>
      <x:c r="G150" s="27" t="str">
        <x:v>太乙救苦天尊系统下游</x:v>
      </x:c>
      <x:c r="H150" s="27" t="str">
        <x:v>黄狮精事件牵出九灵元圣。</x:v>
      </x:c>
      <x:c r="I150" s="27" t="str">
        <x:v>前端小妖风险可能连接高阶后台。</x:v>
      </x:c>
      <x:c r="J150" s="27" t="str">
        <x:v>下游→后台</x:v>
      </x:c>
      <x:c r="K150" s="27" t="str">
        <x:v>待校核原文</x:v>
      </x:c>
      <x:c r="L150" s="27" t="str">
        <x:v>https://zh.wikisource.org/wiki/西游记/第九十回</x:v>
      </x:c>
      <x:c r="M150" s="24"/>
      <x:c r="N150" s="24"/>
    </x:row>
    <x:row r="151">
      <x:c r="A151" s="27" t="str">
        <x:v>R150</x:v>
      </x:c>
      <x:c r="B151" s="27" t="str">
        <x:v>九灵元圣</x:v>
      </x:c>
      <x:c r="C151" s="27" t="str">
        <x:v>所属/坐骑</x:v>
      </x:c>
      <x:c r="D151" s="27" t="str">
        <x:v>太乙救苦天尊</x:v>
      </x:c>
      <x:c r="E151" s="27" t="str">
        <x:v>第90回</x:v>
      </x:c>
      <x:c r="F151" s="27" t="str">
        <x:v>高阶妖王/坐骑</x:v>
      </x:c>
      <x:c r="G151" s="27" t="str">
        <x:v>道教神祇系统</x:v>
      </x:c>
      <x:c r="H151" s="27" t="str">
        <x:v>九灵元圣本为太乙救苦天尊座下九头狮子。</x:v>
      </x:c>
      <x:c r="I151" s="27" t="str">
        <x:v>后台收束者需要承担系统资源失管责任。</x:v>
      </x:c>
      <x:c r="J151" s="27" t="str">
        <x:v>后台归属</x:v>
      </x:c>
      <x:c r="K151" s="27" t="str">
        <x:v>待校核原文</x:v>
      </x:c>
      <x:c r="L151" s="27" t="str">
        <x:v>https://zh.wikisource.org/wiki/西游记/第九十回</x:v>
      </x:c>
      <x:c r="M151" s="24"/>
      <x:c r="N151" s="24"/>
    </x:row>
    <x:row r="152">
      <x:c r="A152" s="27" t="str">
        <x:v>R151</x:v>
      </x:c>
      <x:c r="B152" s="27" t="str">
        <x:v>孙悟空</x:v>
      </x:c>
      <x:c r="C152" s="27" t="str">
        <x:v>请援/升级处置</x:v>
      </x:c>
      <x:c r="D152" s="27" t="str">
        <x:v>太乙救苦天尊</x:v>
      </x:c>
      <x:c r="E152" s="27" t="str">
        <x:v>第90回</x:v>
      </x:c>
      <x:c r="F152" s="27" t="str">
        <x:v>取经团队</x:v>
      </x:c>
      <x:c r="G152" s="27" t="str">
        <x:v>道教神祇系统</x:v>
      </x:c>
      <x:c r="H152" s="27" t="str">
        <x:v>悟空请天尊出面收伏九灵元圣。</x:v>
      </x:c>
      <x:c r="I152" s="27" t="str">
        <x:v>面对高阶后台风险，处置层级必须上升。</x:v>
      </x:c>
      <x:c r="J152" s="27" t="str">
        <x:v>请援→收束</x:v>
      </x:c>
      <x:c r="K152" s="27" t="str">
        <x:v>待校核原文</x:v>
      </x:c>
      <x:c r="L152" s="27" t="str">
        <x:v>https://zh.wikisource.org/wiki/西游记/第九十回</x:v>
      </x:c>
      <x:c r="M152" s="24"/>
      <x:c r="N152" s="24"/>
    </x:row>
    <x:row r="153">
      <x:c r="A153" s="24" t="str">
        <x:v>R152</x:v>
      </x:c>
      <x:c r="B153" s="24" t="str">
        <x:v>金平府百姓/僧众</x:v>
      </x:c>
      <x:c r="C153" s="24" t="str">
        <x:v>供奉/误信</x:v>
      </x:c>
      <x:c r="D153" s="24" t="str">
        <x:v>三犀牛怪</x:v>
      </x:c>
      <x:c r="E153" s="24" t="str">
        <x:v>第91回</x:v>
      </x:c>
      <x:c r="F153" s="24" t="str">
        <x:v>地方社会</x:v>
      </x:c>
      <x:c r="G153" s="24" t="str">
        <x:v>玄英洞妖怪系统</x:v>
      </x:c>
      <x:c r="H153" s="24" t="str">
        <x:v>以元夜观灯和灯油供奉形成对三怪的持续供养。</x:v>
      </x:c>
      <x:c r="I153" s="24" t="str">
        <x:v>地方供奉可被假权威劫持成风险链条。</x:v>
      </x:c>
      <x:c r="J153" s="24" t="str">
        <x:v>供奉→假权威</x:v>
      </x:c>
      <x:c r="K153" s="24" t="str">
        <x:v>待校核原文</x:v>
      </x:c>
      <x:c r="L153" s="24" t="str">
        <x:v>https://zh.wikisource.org/wiki/西游记/第九十一回</x:v>
      </x:c>
      <x:c r="M153" s="24"/>
      <x:c r="N153" s="24"/>
    </x:row>
    <x:row r="154">
      <x:c r="A154" s="24" t="str">
        <x:v>R153</x:v>
      </x:c>
      <x:c r="B154" s="24" t="str">
        <x:v>三犀牛怪</x:v>
      </x:c>
      <x:c r="C154" s="24" t="str">
        <x:v>摄取/劫持</x:v>
      </x:c>
      <x:c r="D154" s="24" t="str">
        <x:v>唐僧</x:v>
      </x:c>
      <x:c r="E154" s="24" t="str">
        <x:v>第91回</x:v>
      </x:c>
      <x:c r="F154" s="24" t="str">
        <x:v>玄英洞妖怪系统</x:v>
      </x:c>
      <x:c r="G154" s="24" t="str">
        <x:v>取经团队</x:v>
      </x:c>
      <x:c r="H154" s="24" t="str">
        <x:v>三怪借金平府观灯情境摄走唐僧。</x:v>
      </x:c>
      <x:c r="I154" s="24" t="str">
        <x:v>后半程风险更会伪装成宗教礼仪和地方习俗。</x:v>
      </x:c>
      <x:c r="J154" s="24" t="str">
        <x:v>妖怪→劫持</x:v>
      </x:c>
      <x:c r="K154" s="24" t="str">
        <x:v>待校核原文</x:v>
      </x:c>
      <x:c r="L154" s="24" t="str">
        <x:v>https://zh.wikisource.org/wiki/西游记/第九十一回</x:v>
      </x:c>
      <x:c r="M154" s="24"/>
      <x:c r="N154" s="24"/>
    </x:row>
    <x:row r="155">
      <x:c r="A155" s="24" t="str">
        <x:v>R154</x:v>
      </x:c>
      <x:c r="B155" s="24" t="str">
        <x:v>孙悟空、猪八戒、沙僧</x:v>
      </x:c>
      <x:c r="C155" s="24" t="str">
        <x:v>大战/追击</x:v>
      </x:c>
      <x:c r="D155" s="24" t="str">
        <x:v>三犀牛怪</x:v>
      </x:c>
      <x:c r="E155" s="24" t="str">
        <x:v>第92回</x:v>
      </x:c>
      <x:c r="F155" s="24" t="str">
        <x:v>取经团队</x:v>
      </x:c>
      <x:c r="G155" s="24" t="str">
        <x:v>玄英洞妖怪系统</x:v>
      </x:c>
      <x:c r="H155" s="24" t="str">
        <x:v>三僧与犀牛怪战斗，常规处置仍需升级救援。</x:v>
      </x:c>
      <x:c r="I155" s="24" t="str">
        <x:v>团队协同是基础，专业救援是关键。</x:v>
      </x:c>
      <x:c r="J155" s="24" t="str">
        <x:v>协同→攻坚</x:v>
      </x:c>
      <x:c r="K155" s="24" t="str">
        <x:v>待校核原文</x:v>
      </x:c>
      <x:c r="L155" s="24" t="str">
        <x:v>https://zh.wikisource.org/wiki/西游记/第九十二回</x:v>
      </x:c>
      <x:c r="M155" s="24"/>
      <x:c r="N155" s="24"/>
    </x:row>
    <x:row r="156">
      <x:c r="A156" s="24" t="str">
        <x:v>R155</x:v>
      </x:c>
      <x:c r="B156" s="24" t="str">
        <x:v>孙悟空</x:v>
      </x:c>
      <x:c r="C156" s="24" t="str">
        <x:v>请援/专业克制</x:v>
      </x:c>
      <x:c r="D156" s="24" t="str">
        <x:v>四木禽星</x:v>
      </x:c>
      <x:c r="E156" s="24" t="str">
        <x:v>第92回</x:v>
      </x:c>
      <x:c r="F156" s="24" t="str">
        <x:v>取经团队</x:v>
      </x:c>
      <x:c r="G156" s="24" t="str">
        <x:v>天庭星宿系统</x:v>
      </x:c>
      <x:c r="H156" s="24" t="str">
        <x:v>悟空请星宿系统协助擒捉犀牛怪。</x:v>
      </x:c>
      <x:c r="I156" s="24" t="str">
        <x:v>找准相克资源比盲目增加战力更有效。</x:v>
      </x:c>
      <x:c r="J156" s="24" t="str">
        <x:v>请援→相克</x:v>
      </x:c>
      <x:c r="K156" s="24" t="str">
        <x:v>待校核原文</x:v>
      </x:c>
      <x:c r="L156" s="24" t="str">
        <x:v>https://zh.wikisource.org/wiki/西游记/第九十二回</x:v>
      </x:c>
      <x:c r="M156" s="24"/>
      <x:c r="N156" s="24"/>
    </x:row>
    <x:row r="157">
      <x:c r="A157" s="24" t="str">
        <x:v>R156</x:v>
      </x:c>
      <x:c r="B157" s="24" t="str">
        <x:v>四木禽星</x:v>
      </x:c>
      <x:c r="C157" s="24" t="str">
        <x:v>克制/收捉</x:v>
      </x:c>
      <x:c r="D157" s="24" t="str">
        <x:v>三犀牛怪</x:v>
      </x:c>
      <x:c r="E157" s="24" t="str">
        <x:v>第92回</x:v>
      </x:c>
      <x:c r="F157" s="24" t="str">
        <x:v>天庭星宿系统</x:v>
      </x:c>
      <x:c r="G157" s="24" t="str">
        <x:v>玄英洞妖怪系统</x:v>
      </x:c>
      <x:c r="H157" s="24" t="str">
        <x:v>四木禽星下界捉拿犀牛怪。</x:v>
      </x:c>
      <x:c r="I157" s="24" t="str">
        <x:v>专业克制关系可转化为可视化边。</x:v>
      </x:c>
      <x:c r="J157" s="24" t="str">
        <x:v>相克→收束</x:v>
      </x:c>
      <x:c r="K157" s="24" t="str">
        <x:v>待校核原文</x:v>
      </x:c>
      <x:c r="L157" s="24" t="str">
        <x:v>https://zh.wikisource.org/wiki/西游记/第九十二回</x:v>
      </x:c>
      <x:c r="M157" s="24"/>
      <x:c r="N157" s="24"/>
    </x:row>
    <x:row r="158">
      <x:c r="A158" s="24" t="str">
        <x:v>R157</x:v>
      </x:c>
      <x:c r="B158" s="24" t="str">
        <x:v>玉兔精</x:v>
      </x:c>
      <x:c r="C158" s="24" t="str">
        <x:v>冒名/替换</x:v>
      </x:c>
      <x:c r="D158" s="24" t="str">
        <x:v>天竺真公主</x:v>
      </x:c>
      <x:c r="E158" s="24" t="str">
        <x:v>第93—95回</x:v>
      </x:c>
      <x:c r="F158" s="24" t="str">
        <x:v>月宫系统</x:v>
      </x:c>
      <x:c r="G158" s="24" t="str">
        <x:v>天竺国王室</x:v>
      </x:c>
      <x:c r="H158" s="24" t="str">
        <x:v>玉兔精冒充公主，遮蔽真公主身份。</x:v>
      </x:c>
      <x:c r="I158" s="24" t="str">
        <x:v>身份替换是后半程重要风险类型。</x:v>
      </x:c>
      <x:c r="J158" s="24" t="str">
        <x:v>替换→身份风险</x:v>
      </x:c>
      <x:c r="K158" s="24" t="str">
        <x:v>待校核原文</x:v>
      </x:c>
      <x:c r="L158" s="24" t="str">
        <x:v>https://zh.wikisource.org/wiki/西游记/第九十五回</x:v>
      </x:c>
      <x:c r="M158" s="24"/>
      <x:c r="N158" s="24"/>
    </x:row>
    <x:row r="159">
      <x:c r="A159" s="24" t="str">
        <x:v>R158</x:v>
      </x:c>
      <x:c r="B159" s="24" t="str">
        <x:v>玉兔精/假公主</x:v>
      </x:c>
      <x:c r="C159" s="24" t="str">
        <x:v>婚配诱惑</x:v>
      </x:c>
      <x:c r="D159" s="24" t="str">
        <x:v>唐僧</x:v>
      </x:c>
      <x:c r="E159" s="24" t="str">
        <x:v>第94—95回</x:v>
      </x:c>
      <x:c r="F159" s="24" t="str">
        <x:v>月宫系统/假公主</x:v>
      </x:c>
      <x:c r="G159" s="24" t="str">
        <x:v>取经团队</x:v>
      </x:c>
      <x:c r="H159" s="24" t="str">
        <x:v>玉兔精以公主身份欲与唐僧婚配。</x:v>
      </x:c>
      <x:c r="I159" s="24" t="str">
        <x:v>欲望风险与合法身份包装合一。</x:v>
      </x:c>
      <x:c r="J159" s="24" t="str">
        <x:v>诱惑→取经目标</x:v>
      </x:c>
      <x:c r="K159" s="24" t="str">
        <x:v>待校核原文</x:v>
      </x:c>
      <x:c r="L159" s="24" t="str">
        <x:v>https://zh.wikisource.org/wiki/西游记/第九十四回</x:v>
      </x:c>
      <x:c r="M159" s="24"/>
      <x:c r="N159" s="24"/>
    </x:row>
    <x:row r="160">
      <x:c r="A160" s="24" t="str">
        <x:v>R159</x:v>
      </x:c>
      <x:c r="B160" s="24" t="str">
        <x:v>孙悟空</x:v>
      </x:c>
      <x:c r="C160" s="24" t="str">
        <x:v>识破/追擒</x:v>
      </x:c>
      <x:c r="D160" s="24" t="str">
        <x:v>玉兔精</x:v>
      </x:c>
      <x:c r="E160" s="24" t="str">
        <x:v>第95回</x:v>
      </x:c>
      <x:c r="F160" s="24" t="str">
        <x:v>取经团队</x:v>
      </x:c>
      <x:c r="G160" s="24" t="str">
        <x:v>月宫系统</x:v>
      </x:c>
      <x:c r="H160" s="24" t="str">
        <x:v>悟空识破假公主真形并追擒玉兔。</x:v>
      </x:c>
      <x:c r="I160" s="24" t="str">
        <x:v>关键在于识别表象下的真实归属。</x:v>
      </x:c>
      <x:c r="J160" s="24" t="str">
        <x:v>识别→反制</x:v>
      </x:c>
      <x:c r="K160" s="24" t="str">
        <x:v>待校核原文</x:v>
      </x:c>
      <x:c r="L160" s="24" t="str">
        <x:v>https://zh.wikisource.org/wiki/西游记/第九十五回</x:v>
      </x:c>
      <x:c r="M160" s="24"/>
      <x:c r="N160" s="24"/>
    </x:row>
    <x:row r="161">
      <x:c r="A161" s="24" t="str">
        <x:v>R160</x:v>
      </x:c>
      <x:c r="B161" s="24" t="str">
        <x:v>太阴星君</x:v>
      </x:c>
      <x:c r="C161" s="24" t="str">
        <x:v>所属/收束</x:v>
      </x:c>
      <x:c r="D161" s="24" t="str">
        <x:v>玉兔精</x:v>
      </x:c>
      <x:c r="E161" s="24" t="str">
        <x:v>第95回</x:v>
      </x:c>
      <x:c r="F161" s="24" t="str">
        <x:v>月宫系统</x:v>
      </x:c>
      <x:c r="G161" s="24" t="str">
        <x:v>月宫系统/玉兔</x:v>
      </x:c>
      <x:c r="H161" s="24" t="str">
        <x:v>太阴星君出面收回玉兔精。</x:v>
      </x:c>
      <x:c r="I161" s="24" t="str">
        <x:v>后台收束再次完成身份归正。</x:v>
      </x:c>
      <x:c r="J161" s="24" t="str">
        <x:v>后台归属</x:v>
      </x:c>
      <x:c r="K161" s="24" t="str">
        <x:v>待校核原文</x:v>
      </x:c>
      <x:c r="L161" s="24" t="str">
        <x:v>https://zh.wikisource.org/wiki/西游记/第九十五回</x:v>
      </x:c>
      <x:c r="M161" s="24"/>
      <x:c r="N161" s="24"/>
    </x:row>
    <x:row r="162" ht="48" customHeight="1">
      <x:c r="A162" s="27" t="str">
        <x:v>R161</x:v>
      </x:c>
      <x:c r="B162" s="27" t="str">
        <x:v>寇员外</x:v>
      </x:c>
      <x:c r="C162" s="27" t="str">
        <x:v>供养/外护</x:v>
      </x:c>
      <x:c r="D162" s="27" t="str">
        <x:v>唐僧师徒</x:v>
      </x:c>
      <x:c r="E162" s="27" t="str">
        <x:v>第96回</x:v>
      </x:c>
      <x:c r="F162" s="27" t="str">
        <x:v>地方善信</x:v>
      </x:c>
      <x:c r="G162" s="27" t="str">
        <x:v>取经团队</x:v>
      </x:c>
      <x:c r="H162" s="27" t="str">
        <x:v>寇员外斋僧供养，成为收官前的重要善缘。</x:v>
      </x:c>
      <x:c r="I162" s="27" t="str">
        <x:v>外部支持与使命边界并存。</x:v>
      </x:c>
      <x:c r="J162" s="27" t="str">
        <x:v>支持→团队</x:v>
      </x:c>
      <x:c r="K162" s="27" t="str">
        <x:v>待校核原文</x:v>
      </x:c>
      <x:c r="L162" s="27" t="str">
        <x:v>https://zh.wikisource.org/wiki/西游记/第九十六回</x:v>
      </x:c>
      <x:c r="M162" s="24"/>
      <x:c r="N162" s="24"/>
    </x:row>
    <x:row r="163" ht="48" customHeight="1">
      <x:c r="A163" s="27" t="str">
        <x:v>R162</x:v>
      </x:c>
      <x:c r="B163" s="27" t="str">
        <x:v>唐僧</x:v>
      </x:c>
      <x:c r="C163" s="27" t="str">
        <x:v>守戒/不贪</x:v>
      </x:c>
      <x:c r="D163" s="27" t="str">
        <x:v>寇员外财物供养</x:v>
      </x:c>
      <x:c r="E163" s="27" t="str">
        <x:v>第96回</x:v>
      </x:c>
      <x:c r="F163" s="27" t="str">
        <x:v>取经团队</x:v>
      </x:c>
      <x:c r="G163" s="27" t="str">
        <x:v>地方善信资源</x:v>
      </x:c>
      <x:c r="H163" s="27" t="str">
        <x:v>唐僧面对厚待与赠酬仍守取经本务。</x:v>
      </x:c>
      <x:c r="I163" s="27" t="str">
        <x:v>终点前的廉洁与边界。</x:v>
      </x:c>
      <x:c r="J163" s="27" t="str">
        <x:v>边界→资源</x:v>
      </x:c>
      <x:c r="K163" s="27" t="str">
        <x:v>待校核原文</x:v>
      </x:c>
      <x:c r="L163" s="27" t="str">
        <x:v>https://zh.wikisource.org/wiki/西游记/第九十六回</x:v>
      </x:c>
      <x:c r="M163" s="24"/>
      <x:c r="N163" s="24"/>
    </x:row>
    <x:row r="164" ht="48" customHeight="1">
      <x:c r="A164" s="27" t="str">
        <x:v>R163</x:v>
      </x:c>
      <x:c r="B164" s="27" t="str">
        <x:v>强盗/贼人</x:v>
      </x:c>
      <x:c r="C164" s="27" t="str">
        <x:v>侵害/制造冤案</x:v>
      </x:c>
      <x:c r="D164" s="27" t="str">
        <x:v>寇员外/唐僧团队</x:v>
      </x:c>
      <x:c r="E164" s="27" t="str">
        <x:v>第97回</x:v>
      </x:c>
      <x:c r="F164" s="27" t="str">
        <x:v>地方恶行</x:v>
      </x:c>
      <x:c r="G164" s="27" t="str">
        <x:v>地方善信/取经团队</x:v>
      </x:c>
      <x:c r="H164" s="27" t="str">
        <x:v>盗劫造成寇员外遇害和唐僧团队受牵连。</x:v>
      </x:c>
      <x:c r="I164" s="27" t="str">
        <x:v>人间恶行与妖怪风险等价。</x:v>
      </x:c>
      <x:c r="J164" s="27" t="str">
        <x:v>风险→冤案</x:v>
      </x:c>
      <x:c r="K164" s="27" t="str">
        <x:v>待校核原文</x:v>
      </x:c>
      <x:c r="L164" s="27" t="str">
        <x:v>https://zh.wikisource.org/wiki/西游记/第九十七回</x:v>
      </x:c>
      <x:c r="M164" s="24"/>
      <x:c r="N164" s="24"/>
    </x:row>
    <x:row r="165" ht="48" customHeight="1">
      <x:c r="A165" s="27" t="str">
        <x:v>R164</x:v>
      </x:c>
      <x:c r="B165" s="27" t="str">
        <x:v>孙悟空</x:v>
      </x:c>
      <x:c r="C165" s="27" t="str">
        <x:v>追查/救本原</x:v>
      </x:c>
      <x:c r="D165" s="27" t="str">
        <x:v>寇员外</x:v>
      </x:c>
      <x:c r="E165" s="27" t="str">
        <x:v>第97回</x:v>
      </x:c>
      <x:c r="F165" s="27" t="str">
        <x:v>取经团队</x:v>
      </x:c>
      <x:c r="G165" s="27" t="str">
        <x:v>地方善信</x:v>
      </x:c>
      <x:c r="H165" s="27" t="str">
        <x:v>悟空介入追查，救回寇员外本原。</x:v>
      </x:c>
      <x:c r="I165" s="27" t="str">
        <x:v>从降妖到伸冤，悟空角色进一步扩展。</x:v>
      </x:c>
      <x:c r="J165" s="27" t="str">
        <x:v>救援→复原</x:v>
      </x:c>
      <x:c r="K165" s="27" t="str">
        <x:v>待校核原文</x:v>
      </x:c>
      <x:c r="L165" s="27" t="str">
        <x:v>https://zh.wikisource.org/wiki/西游记/第九十七回</x:v>
      </x:c>
      <x:c r="M165" s="24"/>
      <x:c r="N165" s="24"/>
    </x:row>
    <x:row r="166" ht="48" customHeight="1">
      <x:c r="A166" s="27" t="str">
        <x:v>R165</x:v>
      </x:c>
      <x:c r="B166" s="27" t="str">
        <x:v>唐僧师徒</x:v>
      </x:c>
      <x:c r="C166" s="27" t="str">
        <x:v>抵达/求经</x:v>
      </x:c>
      <x:c r="D166" s="27" t="str">
        <x:v>如来</x:v>
      </x:c>
      <x:c r="E166" s="27" t="str">
        <x:v>第98回</x:v>
      </x:c>
      <x:c r="F166" s="27" t="str">
        <x:v>取经团队</x:v>
      </x:c>
      <x:c r="G166" s="27" t="str">
        <x:v>灵山系统</x:v>
      </x:c>
      <x:c r="H166" s="27" t="str">
        <x:v>师徒抵达灵山，正式向如来求取真经。</x:v>
      </x:c>
      <x:c r="I166" s="27" t="str">
        <x:v>长程任务进入最终交付。</x:v>
      </x:c>
      <x:c r="J166" s="27" t="str">
        <x:v>使命→终局权威</x:v>
      </x:c>
      <x:c r="K166" s="27" t="str">
        <x:v>待校核原文</x:v>
      </x:c>
      <x:c r="L166" s="27" t="str">
        <x:v>https://zh.wikisource.org/wiki/西游记/第九十八回</x:v>
      </x:c>
      <x:c r="M166" s="24"/>
      <x:c r="N166" s="24"/>
    </x:row>
    <x:row r="167" ht="48" customHeight="1">
      <x:c r="A167" s="27" t="str">
        <x:v>R166</x:v>
      </x:c>
      <x:c r="B167" s="27" t="str">
        <x:v>阿傩、迦叶</x:v>
      </x:c>
      <x:c r="C167" s="27" t="str">
        <x:v>交付/索人事</x:v>
      </x:c>
      <x:c r="D167" s="27" t="str">
        <x:v>唐僧</x:v>
      </x:c>
      <x:c r="E167" s="27" t="str">
        <x:v>第98回</x:v>
      </x:c>
      <x:c r="F167" s="27" t="str">
        <x:v>灵山系统</x:v>
      </x:c>
      <x:c r="G167" s="27" t="str">
        <x:v>取经团队</x:v>
      </x:c>
      <x:c r="H167" s="27" t="str">
        <x:v>二尊者负责传经，并涉及人事与无字经。</x:v>
      </x:c>
      <x:c r="I167" s="27" t="str">
        <x:v>交付流程中的规则、人情和质量问题。</x:v>
      </x:c>
      <x:c r="J167" s="27" t="str">
        <x:v>交付→质量风险</x:v>
      </x:c>
      <x:c r="K167" s="27" t="str">
        <x:v>待校核原文</x:v>
      </x:c>
      <x:c r="L167" s="27" t="str">
        <x:v>https://zh.wikisource.org/wiki/西游记/第九十八回</x:v>
      </x:c>
      <x:c r="M167" s="24"/>
      <x:c r="N167" s="24"/>
    </x:row>
    <x:row r="168" ht="48" customHeight="1">
      <x:c r="A168" s="27" t="str">
        <x:v>R167</x:v>
      </x:c>
      <x:c r="B168" s="27" t="str">
        <x:v>燃灯古佛</x:v>
      </x:c>
      <x:c r="C168" s="27" t="str">
        <x:v>预警/纠偏</x:v>
      </x:c>
      <x:c r="D168" s="27" t="str">
        <x:v>唐僧师徒</x:v>
      </x:c>
      <x:c r="E168" s="27" t="str">
        <x:v>第98回</x:v>
      </x:c>
      <x:c r="F168" s="27" t="str">
        <x:v>灵山系统</x:v>
      </x:c>
      <x:c r="G168" s="27" t="str">
        <x:v>取经团队</x:v>
      </x:c>
      <x:c r="H168" s="27" t="str">
        <x:v>燃灯系统提示无字经问题，推动返换。</x:v>
      </x:c>
      <x:c r="I168" s="27" t="str">
        <x:v>终局质量复核机制。</x:v>
      </x:c>
      <x:c r="J168" s="27" t="str">
        <x:v>预警→纠偏</x:v>
      </x:c>
      <x:c r="K168" s="27" t="str">
        <x:v>待校核原文</x:v>
      </x:c>
      <x:c r="L168" s="27" t="str">
        <x:v>https://zh.wikisource.org/wiki/西游记/第九十八回</x:v>
      </x:c>
      <x:c r="M168" s="24"/>
      <x:c r="N168" s="24"/>
    </x:row>
    <x:row r="169" ht="48" customHeight="1">
      <x:c r="A169" s="27" t="str">
        <x:v>R168</x:v>
      </x:c>
      <x:c r="B169" s="27" t="str">
        <x:v>唐僧</x:v>
      </x:c>
      <x:c r="C169" s="27" t="str">
        <x:v>交付/换经</x:v>
      </x:c>
      <x:c r="D169" s="27" t="str">
        <x:v>紫金钵盂</x:v>
      </x:c>
      <x:c r="E169" s="27" t="str">
        <x:v>第98回</x:v>
      </x:c>
      <x:c r="F169" s="27" t="str">
        <x:v>取经团队</x:v>
      </x:c>
      <x:c r="G169" s="27" t="str">
        <x:v>大唐赐物</x:v>
      </x:c>
      <x:c r="H169" s="27" t="str">
        <x:v>唐僧以唐王所赐紫金钵盂作为人事，换取有字真经。</x:v>
      </x:c>
      <x:c r="I169" s="27" t="str">
        <x:v>资源媒介连接大唐使命与灵山交付规则。</x:v>
      </x:c>
      <x:c r="J169" s="27" t="str">
        <x:v>资源→交付</x:v>
      </x:c>
      <x:c r="K169" s="27" t="str">
        <x:v>待校核原文</x:v>
      </x:c>
      <x:c r="L169" s="27" t="str">
        <x:v>https://zh.wikisource.org/wiki/西游记/第九十八回</x:v>
      </x:c>
      <x:c r="M169" s="24"/>
      <x:c r="N169" s="24"/>
    </x:row>
    <x:row r="170" ht="48" customHeight="1">
      <x:c r="A170" s="27" t="str">
        <x:v>R169</x:v>
      </x:c>
      <x:c r="B170" s="27" t="str">
        <x:v>观音</x:v>
      </x:c>
      <x:c r="C170" s="27" t="str">
        <x:v>检点/补难</x:v>
      </x:c>
      <x:c r="D170" s="27" t="str">
        <x:v>取经团队</x:v>
      </x:c>
      <x:c r="E170" s="27" t="str">
        <x:v>第99回</x:v>
      </x:c>
      <x:c r="F170" s="27" t="str">
        <x:v>灵山系统</x:v>
      </x:c>
      <x:c r="G170" s="27" t="str">
        <x:v>取经团队</x:v>
      </x:c>
      <x:c r="H170" s="27" t="str">
        <x:v>观音检点难数，发现尚缺一难并安排补足。</x:v>
      </x:c>
      <x:c r="I170" s="27" t="str">
        <x:v>项目验收的最终复核。</x:v>
      </x:c>
      <x:c r="J170" s="27" t="str">
        <x:v>督导→闭环</x:v>
      </x:c>
      <x:c r="K170" s="27" t="str">
        <x:v>待校核原文</x:v>
      </x:c>
      <x:c r="L170" s="27" t="str">
        <x:v>https://zh.wikisource.org/wiki/西游记/第九十九回</x:v>
      </x:c>
      <x:c r="M170" s="24"/>
      <x:c r="N170" s="24"/>
    </x:row>
    <x:row r="171" ht="48" customHeight="1">
      <x:c r="A171" s="27" t="str">
        <x:v>R170</x:v>
      </x:c>
      <x:c r="B171" s="27" t="str">
        <x:v>老鼋</x:v>
      </x:c>
      <x:c r="C171" s="27" t="str">
        <x:v>承载/报怨</x:v>
      </x:c>
      <x:c r="D171" s="27" t="str">
        <x:v>唐僧师徒</x:v>
      </x:c>
      <x:c r="E171" s="27" t="str">
        <x:v>第49回、第99回</x:v>
      </x:c>
      <x:c r="F171" s="27" t="str">
        <x:v>通天河水域</x:v>
      </x:c>
      <x:c r="G171" s="27" t="str">
        <x:v>取经团队</x:v>
      </x:c>
      <x:c r="H171" s="27" t="str">
        <x:v>老鼋因唐僧忘问年寿而在回程掀落师徒。</x:v>
      </x:c>
      <x:c r="I171" s="27" t="str">
        <x:v>承诺未履行会在闭环阶段成为风险。</x:v>
      </x:c>
      <x:c r="J171" s="27" t="str">
        <x:v>承诺→补难</x:v>
      </x:c>
      <x:c r="K171" s="27" t="str">
        <x:v>待校核原文</x:v>
      </x:c>
      <x:c r="L171" s="27" t="str">
        <x:v>https://zh.wikisource.org/wiki/西游记/第九十九回</x:v>
      </x:c>
      <x:c r="M171" s="24"/>
      <x:c r="N171" s="24"/>
    </x:row>
    <x:row r="172" ht="48" customHeight="1">
      <x:c r="A172" s="27" t="str">
        <x:v>R171</x:v>
      </x:c>
      <x:c r="B172" s="27" t="str">
        <x:v>唐太宗</x:v>
      </x:c>
      <x:c r="C172" s="27" t="str">
        <x:v>迎接/接收成果</x:v>
      </x:c>
      <x:c r="D172" s="27" t="str">
        <x:v>唐僧真经</x:v>
      </x:c>
      <x:c r="E172" s="27" t="str">
        <x:v>第100回</x:v>
      </x:c>
      <x:c r="F172" s="27" t="str">
        <x:v>大唐王权系统</x:v>
      </x:c>
      <x:c r="G172" s="27" t="str">
        <x:v>取经团队/佛教经典</x:v>
      </x:c>
      <x:c r="H172" s="27" t="str">
        <x:v>唐太宗迎回真经，完成任务发起端与成果接收端闭环。</x:v>
      </x:c>
      <x:c r="I172" s="27" t="str">
        <x:v>项目回传与制度确认。</x:v>
      </x:c>
      <x:c r="J172" s="27" t="str">
        <x:v>接收→传播</x:v>
      </x:c>
      <x:c r="K172" s="27" t="str">
        <x:v>待校核原文</x:v>
      </x:c>
      <x:c r="L172" s="27" t="str">
        <x:v>https://zh.wikisource.org/wiki/西游记/第一百回</x:v>
      </x:c>
      <x:c r="M172" s="24"/>
      <x:c r="N172" s="24"/>
    </x:row>
    <x:row r="173" ht="48" customHeight="1">
      <x:c r="A173" s="27" t="str">
        <x:v>R172</x:v>
      </x:c>
      <x:c r="B173" s="27" t="str">
        <x:v>如来</x:v>
      </x:c>
      <x:c r="C173" s="27" t="str">
        <x:v>封赠/角色归位</x:v>
      </x:c>
      <x:c r="D173" s="27" t="str">
        <x:v>五圣</x:v>
      </x:c>
      <x:c r="E173" s="27" t="str">
        <x:v>第100回</x:v>
      </x:c>
      <x:c r="F173" s="27" t="str">
        <x:v>灵山系统</x:v>
      </x:c>
      <x:c r="G173" s="27" t="str">
        <x:v>取经团队</x:v>
      </x:c>
      <x:c r="H173" s="27" t="str">
        <x:v>如来最终封赠唐僧师徒与白龙马。</x:v>
      </x:c>
      <x:c r="I173" s="27" t="str">
        <x:v>组织评价、功德确认与心性归位。</x:v>
      </x:c>
      <x:c r="J173" s="27" t="str">
        <x:v>权威→封号</x:v>
      </x:c>
      <x:c r="K173" s="27" t="str">
        <x:v>待校核原文</x:v>
      </x:c>
      <x:c r="L173" s="27" t="str">
        <x:v>https://zh.wikisource.org/wiki/西游记/第一百回</x:v>
      </x:c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  <x:tableParts count="1">
    <x:tablePart xmlns:r="http://schemas.openxmlformats.org/officeDocument/2006/relationships" r:id="R3e17dfb07064493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42" hidden="0" customWidth="1"/>
    <x:col min="4" max="4" width="16" hidden="0" customWidth="1"/>
    <x:col min="5" max="5" width="28" hidden="0" customWidth="1"/>
    <x:col min="6" max="6" width="32" hidden="0" customWidth="1"/>
    <x:col min="7" max="7" width="28" hidden="0" customWidth="1"/>
    <x:col min="8" max="8" width="32" hidden="0" customWidth="1"/>
    <x:col min="9" max="9" width="12" hidden="0" customWidth="1"/>
    <x:col min="10" max="10" width="32" hidden="0" customWidth="1"/>
    <x:col min="11" max="11" width="28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15" hidden="0" customHeight="1">
      <x:c r="A1" s="19" t="str">
        <x:v>专题编号</x:v>
      </x:c>
      <x:c r="B1" s="19" t="str">
        <x:v>专题名称</x:v>
      </x:c>
      <x:c r="C1" s="19" t="str">
        <x:v>核心判断</x:v>
      </x:c>
      <x:c r="D1" s="19" t="str">
        <x:v>支撑回次</x:v>
      </x:c>
      <x:c r="E1" s="19" t="str">
        <x:v>关键人物/对象</x:v>
      </x:c>
      <x:c r="F1" s="19" t="str">
        <x:v>原文摘录方向</x:v>
      </x:c>
      <x:c r="G1" s="19" t="str">
        <x:v>可视化建议</x:v>
      </x:c>
      <x:c r="H1" s="19" t="str">
        <x:v>可写文章标题</x:v>
      </x:c>
      <x:c r="I1" s="19" t="str">
        <x:v>证据状态</x:v>
      </x:c>
      <x:c r="J1" s="19" t="str">
        <x:v>来源URL</x:v>
      </x:c>
      <x:c r="K1" s="19" t="str">
        <x:v>备注</x:v>
      </x:c>
      <x:c r="L1" s="19"/>
      <x:c r="M1" s="19"/>
      <x:c r="N1" s="19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66" hidden="0" customHeight="1">
      <x:c r="A2" s="27" t="str">
        <x:v>Z001</x:v>
      </x:c>
      <x:c r="B2" s="27" t="str">
        <x:v>取经团队如何成型</x:v>
      </x:c>
      <x:c r="C2" s="27" t="str">
        <x:v>第15—22回完成白龙马、八戒、沙僧归队，团队从“唐僧+悟空”转为五元结构。</x:v>
      </x:c>
      <x:c r="D2" s="27" t="str">
        <x:v>第15—22回</x:v>
      </x:c>
      <x:c r="E2" s="27" t="str">
        <x:v>唐僧、悟空、白龙马、八戒、沙僧</x:v>
      </x:c>
      <x:c r="F2" s="27" t="str">
        <x:v>收白龙马、收八戒、收悟净三组归队场景</x:v>
      </x:c>
      <x:c r="G2" s="27" t="str">
        <x:v>团队角色结构图</x:v>
      </x:c>
      <x:c r="H2" s="27" t="str">
        <x:v>《从意马到悟净：取经团队如何完成组织拼图》</x:v>
      </x:c>
      <x:c r="I2" s="27" t="str">
        <x:v>待校核原文</x:v>
      </x:c>
      <x:c r="J2" s="27" t="str">
        <x:v>https://zh.wikisource.org/wiki/西游记</x:v>
      </x:c>
      <x:c r="K2" s="27" t="str">
        <x:v>可作为V0.3主专题。</x:v>
      </x:c>
      <x:c r="L2" s="27"/>
      <x:c r="M2" s="27"/>
      <x:c r="N2" s="27"/>
    </x:row>
    <x:row r="3" ht="52.79999923706055" hidden="0" customHeight="1">
      <x:c r="A3" s="27" t="str">
        <x:v>Z002</x:v>
      </x:c>
      <x:c r="B3" s="27" t="str">
        <x:v>为什么八戒不能被开除</x:v>
      </x:c>
      <x:c r="C3" s="27" t="str">
        <x:v>八戒以欲望形态登场，却补足人性、行动、生活化协同和团队弹性。</x:v>
      </x:c>
      <x:c r="D3" s="27" t="str">
        <x:v>第18—19回，后续持续跟踪</x:v>
      </x:c>
      <x:c r="E3" s="27" t="str">
        <x:v>猪八戒、孙悟空、唐僧</x:v>
      </x:c>
      <x:c r="F3" s="27" t="str">
        <x:v>高老庄、云栈洞收八戒、唐僧赐戒名</x:v>
      </x:c>
      <x:c r="G3" s="27" t="str">
        <x:v>人物能力—缺陷雷达图</x:v>
      </x:c>
      <x:c r="H3" s="27" t="str">
        <x:v>《猪八戒为什么不能被开除》</x:v>
      </x:c>
      <x:c r="I3" s="27" t="str">
        <x:v>待校核原文</x:v>
      </x:c>
      <x:c r="J3" s="27" t="str">
        <x:v>https://zh.wikisource.org/wiki/西游记/第十九回</x:v>
      </x:c>
      <x:c r="K3" s="27" t="str">
        <x:v>后续需统计八戒贡献与误事案例。</x:v>
      </x:c>
      <x:c r="L3" s="27"/>
      <x:c r="M3" s="27"/>
      <x:c r="N3" s="27"/>
    </x:row>
    <x:row r="4" ht="66" hidden="0" customHeight="1">
      <x:c r="A4" s="27" t="str">
        <x:v>Z003</x:v>
      </x:c>
      <x:c r="B4" s="27" t="str">
        <x:v>袈裟之难与资产风险</x:v>
      </x:c>
      <x:c r="C4" s="27" t="str">
        <x:v>观音院之难不是单纯妖怪作祟，而是炫示、贪念、内部失守与外部盗取叠加。</x:v>
      </x:c>
      <x:c r="D4" s="27" t="str">
        <x:v>第16—17回</x:v>
      </x:c>
      <x:c r="E4" s="27" t="str">
        <x:v>孙悟空、唐僧、金池长老、黑熊精、观音</x:v>
      </x:c>
      <x:c r="F4" s="27" t="str">
        <x:v>炫袈裟、金池起贪、火灾、黑熊盗袈裟</x:v>
      </x:c>
      <x:c r="G4" s="27" t="str">
        <x:v>风险链条图</x:v>
      </x:c>
      <x:c r="H4" s="27" t="str">
        <x:v>《一件袈裟引发的风险链》</x:v>
      </x:c>
      <x:c r="I4" s="27" t="str">
        <x:v>待校核原文</x:v>
      </x:c>
      <x:c r="J4" s="27" t="str">
        <x:v>https://zh.wikisource.org/wiki/西游记/第十六回</x:v>
      </x:c>
      <x:c r="K4" s="27" t="str">
        <x:v>适合管理化解读。</x:v>
      </x:c>
      <x:c r="L4" s="27"/>
      <x:c r="M4" s="27"/>
      <x:c r="N4" s="27"/>
    </x:row>
    <x:row r="5" ht="52.79999923706055" hidden="0" customHeight="1">
      <x:c r="A5" s="27" t="str">
        <x:v>Z004</x:v>
      </x:c>
      <x:c r="B5" s="27" t="str">
        <x:v>有能力也要会求援</x:v>
      </x:c>
      <x:c r="C5" s="27" t="str">
        <x:v>黑风山与黄风岭都显示，悟空虽强，但不是什么问题都能独立解决。</x:v>
      </x:c>
      <x:c r="D5" s="27" t="str">
        <x:v>第17回、第21回</x:v>
      </x:c>
      <x:c r="E5" s="27" t="str">
        <x:v>孙悟空、观音、灵吉菩萨、黑熊精、黄风怪</x:v>
      </x:c>
      <x:c r="F5" s="27" t="str">
        <x:v>请观音、请灵吉两个场景</x:v>
      </x:c>
      <x:c r="G5" s="27" t="str">
        <x:v>外援网络图</x:v>
      </x:c>
      <x:c r="H5" s="27" t="str">
        <x:v>《孙悟空为什么总要去请人》</x:v>
      </x:c>
      <x:c r="I5" s="27" t="str">
        <x:v>待校核原文</x:v>
      </x:c>
      <x:c r="J5" s="27" t="str">
        <x:v>https://zh.wikisource.org/wiki/西游记/第二十一回</x:v>
      </x:c>
      <x:c r="K5" s="27" t="str">
        <x:v>可与组织协同专题结合。</x:v>
      </x:c>
      <x:c r="L5" s="27"/>
      <x:c r="M5" s="27"/>
      <x:c r="N5" s="27"/>
    </x:row>
    <x:row r="6" ht="52.79999923706055" hidden="0" customHeight="1">
      <x:c r="A6" s="27" t="str">
        <x:v>Z005</x:v>
      </x:c>
      <x:c r="B6" s="27" t="str">
        <x:v>白龙马与沙僧：沉默承载者</x:v>
      </x:c>
      <x:c r="C6" s="27" t="str">
        <x:v>白龙马负责承载，沙僧负责稳定，二者共同构成取经路上的低声部。</x:v>
      </x:c>
      <x:c r="D6" s="27" t="str">
        <x:v>第15回、第22回</x:v>
      </x:c>
      <x:c r="E6" s="27" t="str">
        <x:v>白龙马、沙悟净、唐僧</x:v>
      </x:c>
      <x:c r="F6" s="27" t="str">
        <x:v>化马、流沙河归队、挑担护持</x:v>
      </x:c>
      <x:c r="G6" s="27" t="str">
        <x:v>沉默贡献者图谱</x:v>
      </x:c>
      <x:c r="H6" s="27" t="str">
        <x:v>《白龙马和沙僧：沉默者的功劳》</x:v>
      </x:c>
      <x:c r="I6" s="27" t="str">
        <x:v>待校核原文</x:v>
      </x:c>
      <x:c r="J6" s="27" t="str">
        <x:v>https://zh.wikisource.org/wiki/西游记/第二十二回</x:v>
      </x:c>
      <x:c r="K6" s="27" t="str">
        <x:v>后续跟踪二者全书行动。</x:v>
      </x:c>
      <x:c r="L6" s="27"/>
      <x:c r="M6" s="27"/>
      <x:c r="N6" s="27"/>
    </x:row>
    <x:row r="7" ht="66" hidden="0" customHeight="1">
      <x:c r="A7" s="27" t="str">
        <x:v>Z006</x:v>
      </x:c>
      <x:c r="B7" s="27" t="str">
        <x:v>四圣试禅心：团队成型后的第一场价值观测试</x:v>
      </x:c>
      <x:c r="C7" s="27" t="str">
        <x:v>取经团队刚刚齐整，马上接受的不是妖怪攻击，而是欲望、婚姻、舒适生活的诱惑测试。</x:v>
      </x:c>
      <x:c r="D7" s="27" t="str">
        <x:v>第23回</x:v>
      </x:c>
      <x:c r="E7" s="27" t="str">
        <x:v>唐僧、悟空、八戒、沙僧、四圣</x:v>
      </x:c>
      <x:c r="F7" s="27" t="str">
        <x:v>四圣化身、八戒动心、惩戒场景</x:v>
      </x:c>
      <x:c r="G7" s="27" t="str">
        <x:v>团队价值观测试图</x:v>
      </x:c>
      <x:c r="H7" s="27" t="str">
        <x:v>《为什么取经团队刚成型就要先试禅心》</x:v>
      </x:c>
      <x:c r="I7" s="27" t="str">
        <x:v>待校核原文</x:v>
      </x:c>
      <x:c r="J7" s="27" t="str">
        <x:v>https://zh.wikisource.org/wiki/西游记/第二十三回</x:v>
      </x:c>
      <x:c r="K7" s="27" t="str">
        <x:v>可作为团队文化专题。</x:v>
      </x:c>
      <x:c r="L7" s="27"/>
      <x:c r="M7" s="27"/>
      <x:c r="N7" s="27"/>
    </x:row>
    <x:row r="8" ht="66" hidden="0" customHeight="1">
      <x:c r="A8" s="27" t="str">
        <x:v>Z007</x:v>
      </x:c>
      <x:c r="B8" s="27" t="str">
        <x:v>人参果之难：从小贪念到大事故</x:v>
      </x:c>
      <x:c r="C8" s="27" t="str">
        <x:v>人参果故事呈现了欲望、误会、侮辱、愤怒、破坏、追责、补救的完整风险链。</x:v>
      </x:c>
      <x:c r="D8" s="27" t="str">
        <x:v>第24—26回</x:v>
      </x:c>
      <x:c r="E8" s="27" t="str">
        <x:v>悟空、八戒、镇元大仙、清风、明月、观音</x:v>
      </x:c>
      <x:c r="F8" s="27" t="str">
        <x:v>偷果、骂战、推树、求方、救树</x:v>
      </x:c>
      <x:c r="G8" s="27" t="str">
        <x:v>风险升级链条图</x:v>
      </x:c>
      <x:c r="H8" s="27" t="str">
        <x:v>《一颗人参果如何变成组织事故》</x:v>
      </x:c>
      <x:c r="I8" s="27" t="str">
        <x:v>待校核原文</x:v>
      </x:c>
      <x:c r="J8" s="27" t="str">
        <x:v>https://zh.wikisource.org/wiki/西游记/第二十四回</x:v>
      </x:c>
      <x:c r="K8" s="27" t="str">
        <x:v>可对接资产管理和冲突治理。</x:v>
      </x:c>
      <x:c r="L8" s="27"/>
      <x:c r="M8" s="27"/>
      <x:c r="N8" s="27"/>
    </x:row>
    <x:row r="9" ht="52.79999923706055" hidden="0" customHeight="1">
      <x:c r="A9" s="27" t="str">
        <x:v>Z008</x:v>
      </x:c>
      <x:c r="B9" s="27" t="str">
        <x:v>三打白骨精：专业判断为何输给表象与内部噪声</x:v>
      </x:c>
      <x:c r="C9" s="27" t="str">
        <x:v>悟空识别妖邪的专业能力没有被唐僧信任，八戒的噪声进一步放大误判。</x:v>
      </x:c>
      <x:c r="D9" s="27" t="str">
        <x:v>第27回</x:v>
      </x:c>
      <x:c r="E9" s="27" t="str">
        <x:v>唐僧、悟空、八戒、白骨精</x:v>
      </x:c>
      <x:c r="F9" s="27" t="str">
        <x:v>三次变化、三次击杀、唐僧念咒与贬书</x:v>
      </x:c>
      <x:c r="G9" s="27" t="str">
        <x:v>信任危机因果图</x:v>
      </x:c>
      <x:c r="H9" s="27" t="str">
        <x:v>《三打白骨精不是打妖怪，是打误判》</x:v>
      </x:c>
      <x:c r="I9" s="27" t="str">
        <x:v>待校核原文</x:v>
      </x:c>
      <x:c r="J9" s="27" t="str">
        <x:v>https://zh.wikisource.org/wiki/西游记/第二十七回</x:v>
      </x:c>
      <x:c r="K9" s="27" t="str">
        <x:v>V0.4核心专题。</x:v>
      </x:c>
      <x:c r="L9" s="27"/>
      <x:c r="M9" s="27"/>
      <x:c r="N9" s="27"/>
    </x:row>
    <x:row r="10" ht="66" hidden="0" customHeight="1">
      <x:c r="A10" s="27" t="str">
        <x:v>Z009</x:v>
      </x:c>
      <x:c r="B10" s="27" t="str">
        <x:v>逐猴王之后：失去关键人才的系统性风险</x:v>
      </x:c>
      <x:c r="C10" s="27" t="str">
        <x:v>悟空被逐后，团队保护能力立即下降，宝象国危机显示核心能力离队的后果。</x:v>
      </x:c>
      <x:c r="D10" s="27" t="str">
        <x:v>第28—31回</x:v>
      </x:c>
      <x:c r="E10" s="27" t="str">
        <x:v>唐僧、悟空、八戒、沙僧、白龙马、黄袍怪</x:v>
      </x:c>
      <x:c r="F10" s="27" t="str">
        <x:v>悟空归山、唐僧逢魔、白龙马劝谏、八戒请猴王</x:v>
      </x:c>
      <x:c r="G10" s="27" t="str">
        <x:v>核心能力离队风险图</x:v>
      </x:c>
      <x:c r="H10" s="27" t="str">
        <x:v>《唐僧逐走悟空以后发生了什么》</x:v>
      </x:c>
      <x:c r="I10" s="27" t="str">
        <x:v>待校核原文</x:v>
      </x:c>
      <x:c r="J10" s="27" t="str">
        <x:v>https://zh.wikisource.org/wiki/西游记/第三十一回</x:v>
      </x:c>
      <x:c r="K10" s="27" t="str">
        <x:v>管理解读价值高。</x:v>
      </x:c>
      <x:c r="L10" s="27"/>
      <x:c r="M10" s="27"/>
      <x:c r="N10" s="27"/>
    </x:row>
    <x:row r="11" ht="66" hidden="0" customHeight="1">
      <x:c r="A11" s="27" t="str">
        <x:v>Z010</x:v>
      </x:c>
      <x:c r="B11" s="27" t="str">
        <x:v>黄袍怪：有后台妖怪与制度外溢风险</x:v>
      </x:c>
      <x:c r="C11" s="27" t="str">
        <x:v>黄袍怪不是纯野生妖怪，而是奎木狼下凡，显示天庭系统成员外溢为人间风险。</x:v>
      </x:c>
      <x:c r="D11" s="27" t="str">
        <x:v>第28—31回</x:v>
      </x:c>
      <x:c r="E11" s="27" t="str">
        <x:v>黄袍怪、奎木狼、百花羞、悟空、天庭</x:v>
      </x:c>
      <x:c r="F11" s="27" t="str">
        <x:v>波月洞、宝象国、悟空降妖、星宿归位</x:v>
      </x:c>
      <x:c r="G11" s="27" t="str">
        <x:v>妖怪后台图</x:v>
      </x:c>
      <x:c r="H11" s="27" t="str">
        <x:v>《黄袍怪为什么不是普通妖怪》</x:v>
      </x:c>
      <x:c r="I11" s="27" t="str">
        <x:v>待校核原文</x:v>
      </x:c>
      <x:c r="J11" s="27" t="str">
        <x:v>https://zh.wikisource.org/wiki/西游记/第三十一回</x:v>
      </x:c>
      <x:c r="K11" s="27" t="str">
        <x:v>纳入“有后台的妖怪”专题主干。</x:v>
      </x:c>
      <x:c r="L11" s="27"/>
      <x:c r="M11" s="27"/>
      <x:c r="N11" s="27"/>
    </x:row>
    <x:row r="12" ht="79.19999694824219" hidden="0" customHeight="1">
      <x:c r="A12" s="27" t="str">
        <x:v>Z011</x:v>
      </x:c>
      <x:c r="B12" s="27" t="str">
        <x:v>平顶山莲花洞：有后台妖怪的标准样本</x:v>
      </x:c>
      <x:c r="C12" s="27" t="str">
        <x:v>金角银角并非野生妖怪，而是太上老君童子下界并携带系统法宝，说明正统系统资源外溢也会制造取经风险。</x:v>
      </x:c>
      <x:c r="D12" s="27" t="str">
        <x:v>第32—35回</x:v>
      </x:c>
      <x:c r="E12" s="27" t="str">
        <x:v>金角大王、银角大王、太上老君、悟空</x:v>
      </x:c>
      <x:c r="F12" s="27" t="str">
        <x:v>童子身份揭示、太上老君收回法宝与童子的段落</x:v>
      </x:c>
      <x:c r="G12" s="27" t="str">
        <x:v>妖怪后台与资源流出图</x:v>
      </x:c>
      <x:c r="H12" s="27" t="str">
        <x:v>《金角银角为什么是“有后台妖怪”的标准样本》</x:v>
      </x:c>
      <x:c r="I12" s="27" t="str">
        <x:v>待校核原文</x:v>
      </x:c>
      <x:c r="J12" s="27" t="str">
        <x:v>https://zh.wikisource.org/wiki/西游记/第三十五回</x:v>
      </x:c>
      <x:c r="K12" s="27" t="str">
        <x:v>可与黄袍怪、青牛精等后续案例构成系列。</x:v>
      </x:c>
      <x:c r="L12" s="27"/>
      <x:c r="M12" s="27"/>
      <x:c r="N12" s="27"/>
    </x:row>
    <x:row r="13" ht="79.19999694824219" hidden="0" customHeight="1">
      <x:c r="A13" s="27" t="str">
        <x:v>Z012</x:v>
      </x:c>
      <x:c r="B13" s="27" t="str">
        <x:v>法宝风险：工具权力如何改变取经难度</x:v>
      </x:c>
      <x:c r="C13" s="27" t="str">
        <x:v>莲花洞段的核心不是妖怪武力，而是法宝带来的规则优势；悟空必须理解工具规则后才能反制。</x:v>
      </x:c>
      <x:c r="D13" s="27" t="str">
        <x:v>第32—35回</x:v>
      </x:c>
      <x:c r="E13" s="27" t="str">
        <x:v>孙悟空、金角银角、紫金红葫芦、羊脂玉净瓶、幌金绳</x:v>
      </x:c>
      <x:c r="F13" s="27" t="str">
        <x:v>叫名收人、骗宝、以宝制宝相关段落</x:v>
      </x:c>
      <x:c r="G13" s="27" t="str">
        <x:v>法宝—规则—反制流程图</x:v>
      </x:c>
      <x:c r="H13" s="27" t="str">
        <x:v>《西游记里的法宝风险：工具强了，规则更重要》</x:v>
      </x:c>
      <x:c r="I13" s="27" t="str">
        <x:v>待校核原文</x:v>
      </x:c>
      <x:c r="J13" s="27" t="str">
        <x:v>https://zh.wikisource.org/wiki/西游记/第三十四回</x:v>
      </x:c>
      <x:c r="K13" s="27" t="str">
        <x:v>建议后续新增“法宝表”。</x:v>
      </x:c>
      <x:c r="L13" s="27"/>
      <x:c r="M13" s="27"/>
      <x:c r="N13" s="27"/>
    </x:row>
    <x:row r="14" ht="79.19999694824219" hidden="0" customHeight="1">
      <x:c r="A14" s="27" t="str">
        <x:v>Z013</x:v>
      </x:c>
      <x:c r="B14" s="27" t="str">
        <x:v>预警为什么失效：从功曹传信到八戒被擒</x:v>
      </x:c>
      <x:c r="C14" s="27" t="str">
        <x:v>第32回已有功曹传信，但团队仍因执行安排、成员弱点和现场判断不足进入风险，说明预警只是闭环的起点。</x:v>
      </x:c>
      <x:c r="D14" s="27" t="str">
        <x:v>第32回</x:v>
      </x:c>
      <x:c r="E14" s="27" t="str">
        <x:v>功曹、悟空、八戒、唐僧</x:v>
      </x:c>
      <x:c r="F14" s="27" t="str">
        <x:v>功曹传信、八戒巡山、莲花洞被擒相关段落</x:v>
      </x:c>
      <x:c r="G14" s="27" t="str">
        <x:v>预警—执行—失效链条图</x:v>
      </x:c>
      <x:c r="H14" s="27" t="str">
        <x:v>《知道前方有妖，为什么还是会出事》</x:v>
      </x:c>
      <x:c r="I14" s="27" t="str">
        <x:v>待校核原文</x:v>
      </x:c>
      <x:c r="J14" s="27" t="str">
        <x:v>https://zh.wikisource.org/wiki/西游记/第三十二回</x:v>
      </x:c>
      <x:c r="K14" s="27" t="str">
        <x:v>与现代风险管理、应急预案可类比。</x:v>
      </x:c>
      <x:c r="L14" s="27"/>
      <x:c r="M14" s="27"/>
      <x:c r="N14" s="27"/>
    </x:row>
    <x:row r="15" ht="79.19999694824219" hidden="0" customHeight="1">
      <x:c r="A15" s="27" t="str">
        <x:v>Z014</x:v>
      </x:c>
      <x:c r="B15" s="27" t="str">
        <x:v>名号、应声与规则陷阱</x:v>
      </x:c>
      <x:c r="C15" s="27" t="str">
        <x:v>紫金红葫芦等法宝利用“叫名—应声—收摄”的规则，显示《西游记》对名号、身份与规则触发机制的想象。</x:v>
      </x:c>
      <x:c r="D15" s="27" t="str">
        <x:v>第34—35回</x:v>
      </x:c>
      <x:c r="E15" s="27" t="str">
        <x:v>悟空、金角银角、紫金红葫芦、羊脂玉净瓶</x:v>
      </x:c>
      <x:c r="F15" s="27" t="str">
        <x:v>叫名收人、悟空变化与骗宝段落</x:v>
      </x:c>
      <x:c r="G15" s="27" t="str">
        <x:v>名号规则触发图</x:v>
      </x:c>
      <x:c r="H15" s="27" t="str">
        <x:v>《一声答应就被收走：西游记里的规则陷阱》</x:v>
      </x:c>
      <x:c r="I15" s="27" t="str">
        <x:v>待校核原文</x:v>
      </x:c>
      <x:c r="J15" s="27" t="str">
        <x:v>https://zh.wikisource.org/wiki/西游记/第三十四回</x:v>
      </x:c>
      <x:c r="K15" s="27" t="str">
        <x:v>可与白骨精的“形象伪装”形成对照：一个骗眼，一个骗名。</x:v>
      </x:c>
      <x:c r="L15" s="27"/>
      <x:c r="M15" s="27"/>
      <x:c r="N15" s="27"/>
    </x:row>
    <x:row r="16" ht="92.4000015258789" hidden="0" customHeight="1">
      <x:c r="A16" s="27" t="str">
        <x:v>Z014</x:v>
      </x:c>
      <x:c r="B16" s="27" t="str">
        <x:v>乌鸡国：真假王权与合法性恢复</x:v>
      </x:c>
      <x:c r="C16" s="27" t="str">
        <x:v>第36—39回把妖怪风险推入王权核心：假王在位三年，说明最危险的不是外部冲击，而是合法身份被替换后仍被制度承认。</x:v>
      </x:c>
      <x:c r="D16" s="27" t="str">
        <x:v>第36—39回</x:v>
      </x:c>
      <x:c r="E16" s="27" t="str">
        <x:v>乌鸡国真王、假王/青毛狮子、唐僧、悟空、太子、井龙王</x:v>
      </x:c>
      <x:c r="F16" s="27" t="str">
        <x:v>真王托梦、太子问母、井中取尸、金丹还魂、文殊收狮</x:v>
      </x:c>
      <x:c r="G16" s="27" t="str">
        <x:v>真假王权证据链图</x:v>
      </x:c>
      <x:c r="H16" s="27" t="str">
        <x:v>《乌鸡国：当妖怪坐上王位》</x:v>
      </x:c>
      <x:c r="I16" s="27" t="str">
        <x:v>待校核原文</x:v>
      </x:c>
      <x:c r="J16" s="27" t="str">
        <x:v>https://zh.wikisource.org/wiki/西游记/%E7%AC%AC%E4%B8%89%E5%8D%81%E5%85%AD%E5%9B%9E</x:v>
      </x:c>
      <x:c r="K16" s="27" t="str">
        <x:v>可与宝象国黄袍怪、后续车迟国道士专权对读。</x:v>
      </x:c>
      <x:c r="L16" s="27"/>
      <x:c r="M16" s="27"/>
      <x:c r="N16" s="27"/>
    </x:row>
    <x:row r="17" ht="79.19999694824219" hidden="0" customHeight="1">
      <x:c r="A17" s="27" t="str">
        <x:v>Z015</x:v>
      </x:c>
      <x:c r="B17" s="27" t="str">
        <x:v>从托梦到复位：冤案昭雪的证据链</x:v>
      </x:c>
      <x:c r="C17" s="27" t="str">
        <x:v>乌鸡国段不是简单打妖怪，而是一个完整查案流程：线索受理、证人核验、现场取证、资源救济、主体复位。</x:v>
      </x:c>
      <x:c r="D17" s="27" t="str">
        <x:v>第36—39回</x:v>
      </x:c>
      <x:c r="E17" s="27" t="str">
        <x:v>唐僧、悟空、太子、王后、八戒、井龙王、太上老君</x:v>
      </x:c>
      <x:c r="F17" s="27" t="str">
        <x:v>托梦申冤、引太子、问母、下井、求丹、还魂</x:v>
      </x:c>
      <x:c r="G17" s="27" t="str">
        <x:v>冤案处理流程图</x:v>
      </x:c>
      <x:c r="H17" s="27" t="str">
        <x:v>《西游记里的调查方法：乌鸡国冤案如何昭雪》</x:v>
      </x:c>
      <x:c r="I17" s="27" t="str">
        <x:v>待校核原文</x:v>
      </x:c>
      <x:c r="J17" s="27" t="str">
        <x:v>https://zh.wikisource.org/wiki/西游记/%E7%AC%AC%E4%B8%89%E5%8D%81%E4%B8%83%E5%9B%9E</x:v>
      </x:c>
      <x:c r="K17" s="27" t="str">
        <x:v>适合写成AI辅助研究方法示范案例。</x:v>
      </x:c>
      <x:c r="L17" s="27"/>
      <x:c r="M17" s="27"/>
      <x:c r="N17" s="27"/>
    </x:row>
    <x:row r="18" ht="79.19999694824219" hidden="0" customHeight="1">
      <x:c r="A18" s="27" t="str">
        <x:v>Z016</x:v>
      </x:c>
      <x:c r="B18" s="27" t="str">
        <x:v>井底的真相：现场证据为何重要</x:v>
      </x:c>
      <x:c r="C18" s="27" t="str">
        <x:v>乌鸡国段最有意味的是“井”：真相沉在制度表象之下，只有进入现场、取回证据，才能打破假王的公共身份。</x:v>
      </x:c>
      <x:c r="D18" s="27" t="str">
        <x:v>第38回</x:v>
      </x:c>
      <x:c r="E18" s="27" t="str">
        <x:v>猪八戒、井龙王、乌鸡国真王尸身</x:v>
      </x:c>
      <x:c r="F18" s="27" t="str">
        <x:v>八戒下井、井龙王护尸、尸身见证</x:v>
      </x:c>
      <x:c r="G18" s="27" t="str">
        <x:v>证据保全节点图</x:v>
      </x:c>
      <x:c r="H18" s="27" t="str">
        <x:v>《看清真假，要下到井底》</x:v>
      </x:c>
      <x:c r="I18" s="27" t="str">
        <x:v>待校核原文</x:v>
      </x:c>
      <x:c r="J18" s="27" t="str">
        <x:v>https://zh.wikisource.org/wiki/西游记/%E7%AC%AC%E4%B8%89%E5%8D%81%E5%85%AB%E5%9B%9E</x:v>
      </x:c>
      <x:c r="K18" s="27" t="str">
        <x:v>可作为修身、管理、调查三重解读。</x:v>
      </x:c>
      <x:c r="L18" s="27"/>
      <x:c r="M18" s="27"/>
      <x:c r="N18" s="27"/>
    </x:row>
    <x:row r="19" ht="92.4000015258789" hidden="0" customHeight="1">
      <x:c r="A19" s="27" t="str">
        <x:v>Z017</x:v>
      </x:c>
      <x:c r="B19" s="27" t="str">
        <x:v>有后台妖怪的责任边界：从金角银角到青毛狮子</x:v>
      </x:c>
      <x:c r="C19" s="27" t="str">
        <x:v>第32—35回金角银角归太上老君，第36—39回青毛狮子归文殊，连续形成‘系统资源外溢—基层受害—上级收回’模式。</x:v>
      </x:c>
      <x:c r="D19" s="27" t="str">
        <x:v>第32—39回</x:v>
      </x:c>
      <x:c r="E19" s="27" t="str">
        <x:v>金角、银角、太上老君、青毛狮子、文殊</x:v>
      </x:c>
      <x:c r="F19" s="27" t="str">
        <x:v>法宝收回、坐骑收回、后台解释</x:v>
      </x:c>
      <x:c r="G19" s="27" t="str">
        <x:v>后台妖怪对照表</x:v>
      </x:c>
      <x:c r="H19" s="27" t="str">
        <x:v>《有后台的妖怪：资源外溢与责任回收》</x:v>
      </x:c>
      <x:c r="I19" s="27" t="str">
        <x:v>待校核原文</x:v>
      </x:c>
      <x:c r="J19" s="27" t="str">
        <x:v>https://zh.wikisource.org/wiki/西游记</x:v>
      </x:c>
      <x:c r="K19" s="27" t="str">
        <x:v>建议后续建立‘后台妖怪专题表’。</x:v>
      </x:c>
      <x:c r="L19" s="27"/>
      <x:c r="M19" s="27"/>
      <x:c r="N19" s="27"/>
    </x:row>
    <x:row r="20" ht="66" hidden="0" customHeight="1">
      <x:c r="A20" s="27" t="str">
        <x:v>Z019</x:v>
      </x:c>
      <x:c r="B20" s="27" t="str">
        <x:v>红孩儿：少年化妖与失控能力</x:v>
      </x:c>
      <x:c r="C20" s="27" t="str">
        <x:v>红孩儿不是普通小妖，而是家族背景、少年心性、三昧真火和缺乏约束叠加后的失控样本。</x:v>
      </x:c>
      <x:c r="D20" s="27" t="str">
        <x:v>第40—42回</x:v>
      </x:c>
      <x:c r="E20" s="27" t="str">
        <x:v>红孩儿、牛魔王、铁扇公主、观音</x:v>
      </x:c>
      <x:c r="F20" s="27" t="str">
        <x:v>化婴诱唐僧、三昧真火败悟空、观音收为善财童子</x:v>
      </x:c>
      <x:c r="G20" s="27" t="str">
        <x:v>能力—约束矩阵图</x:v>
      </x:c>
      <x:c r="H20" s="27" t="str">
        <x:v>《红孩儿为什么必须由观音来收》</x:v>
      </x:c>
      <x:c r="I20" s="27" t="str">
        <x:v>待校核原文</x:v>
      </x:c>
      <x:c r="J20" s="27" t="str">
        <x:v>https://zh.wikisource.org/wiki/西游记/第四十二回</x:v>
      </x:c>
      <x:c r="K20" s="27" t="str">
        <x:v>可与孙悟空早期失控作对照。</x:v>
      </x:c>
      <x:c r="L20" s="27"/>
      <x:c r="M20" s="27"/>
      <x:c r="N20" s="27"/>
    </x:row>
    <x:row r="21" ht="66" hidden="0" customHeight="1">
      <x:c r="A21" s="27" t="str">
        <x:v>Z020</x:v>
      </x:c>
      <x:c r="B21" s="27" t="str">
        <x:v>假观音：假权威与信息陷阱</x:v>
      </x:c>
      <x:c r="C21" s="27" t="str">
        <x:v>八戒被假观音诱擒，说明组织外部求援环节最怕假身份、假授权、假信息。</x:v>
      </x:c>
      <x:c r="D21" s="27" t="str">
        <x:v>第41回</x:v>
      </x:c>
      <x:c r="E21" s="27" t="str">
        <x:v>红孩儿、猪八戒、观音</x:v>
      </x:c>
      <x:c r="F21" s="27" t="str">
        <x:v>红孩儿变化观音、八戒误信被擒</x:v>
      </x:c>
      <x:c r="G21" s="27" t="str">
        <x:v>真假权威识别流程图</x:v>
      </x:c>
      <x:c r="H21" s="27" t="str">
        <x:v>《最危险的不是妖怪，是假观音》</x:v>
      </x:c>
      <x:c r="I21" s="27" t="str">
        <x:v>待校核原文</x:v>
      </x:c>
      <x:c r="J21" s="27" t="str">
        <x:v>https://zh.wikisource.org/wiki/西游记/第四十一回</x:v>
      </x:c>
      <x:c r="K21" s="27" t="str">
        <x:v>适合与乌鸡国真假王、车迟国假权威合并专题。</x:v>
      </x:c>
      <x:c r="L21" s="27"/>
      <x:c r="M21" s="27"/>
      <x:c r="N21" s="27"/>
    </x:row>
    <x:row r="22" ht="52.79999923706055" hidden="0" customHeight="1">
      <x:c r="A22" s="27" t="str">
        <x:v>Z021</x:v>
      </x:c>
      <x:c r="B22" s="27" t="str">
        <x:v>黑水河鼍龙：亲属后台失管</x:v>
      </x:c>
      <x:c r="C22" s="27" t="str">
        <x:v>鼍龙之难提示，很多风险来自有关系、有来源、但脱离约束的边缘个体。</x:v>
      </x:c>
      <x:c r="D22" s="27" t="str">
        <x:v>第43回</x:v>
      </x:c>
      <x:c r="E22" s="27" t="str">
        <x:v>鼍龙、西海龙王、摩昂太子</x:v>
      </x:c>
      <x:c r="F22" s="27" t="str">
        <x:v>鼍龙擒僧、龙宫追责、摩昂收回</x:v>
      </x:c>
      <x:c r="G22" s="27" t="str">
        <x:v>后台类型对照表</x:v>
      </x:c>
      <x:c r="H22" s="27" t="str">
        <x:v>《黑水河：一个亲属后台妖怪的治理样本》</x:v>
      </x:c>
      <x:c r="I22" s="27" t="str">
        <x:v>待校核原文</x:v>
      </x:c>
      <x:c r="J22" s="27" t="str">
        <x:v>https://zh.wikisource.org/wiki/西游记/第四十三回</x:v>
      </x:c>
      <x:c r="K22" s="27" t="str">
        <x:v>可纳入‘后台妖怪表’。</x:v>
      </x:c>
      <x:c r="L22" s="27"/>
      <x:c r="M22" s="27"/>
      <x:c r="N22" s="27"/>
    </x:row>
    <x:row r="23" ht="66" hidden="0" customHeight="1">
      <x:c r="A23" s="27" t="str">
        <x:v>Z022</x:v>
      </x:c>
      <x:c r="B23" s="27" t="str">
        <x:v>车迟国三大仙：伪权威如何占领制度</x:v>
      </x:c>
      <x:c r="C23" s="27" t="str">
        <x:v>三大仙不是山野作乱，而是进入王权系统、操控评价标准、压迫僧人的制度寄生型妖怪。</x:v>
      </x:c>
      <x:c r="D23" s="27" t="str">
        <x:v>第44—46回</x:v>
      </x:c>
      <x:c r="E23" s="27" t="str">
        <x:v>虎力大仙、鹿力大仙、羊力大仙、车迟国王、孙悟空</x:v>
      </x:c>
      <x:c r="F23" s="27" t="str">
        <x:v>僧人受压、三清观、求雨斗法、三妖现形</x:v>
      </x:c>
      <x:c r="G23" s="27" t="str">
        <x:v>制度偏置—公开验证图</x:v>
      </x:c>
      <x:c r="H23" s="27" t="str">
        <x:v>《车迟国：当假权威占领制度》</x:v>
      </x:c>
      <x:c r="I23" s="27" t="str">
        <x:v>待校核原文</x:v>
      </x:c>
      <x:c r="J23" s="27" t="str">
        <x:v>https://zh.wikisource.org/wiki/西游记/第四十六回</x:v>
      </x:c>
      <x:c r="K23" s="27" t="str">
        <x:v>可与乌鸡国真假王权对照。</x:v>
      </x:c>
      <x:c r="L23" s="27"/>
      <x:c r="M23" s="27"/>
      <x:c r="N23" s="27"/>
    </x:row>
    <x:row r="24" ht="66" hidden="0" customHeight="1">
      <x:c r="A24" s="27" t="str">
        <x:v>Z022</x:v>
      </x:c>
      <x:c r="B24" s="27" t="str">
        <x:v>通天河：祭祀型风险与地方治理</x:v>
      </x:c>
      <x:c r="C24" s="27" t="str">
        <x:v>通天河之难不只是水怪作恶，更是地方社会把恐惧制度化，童男童女成为长期成本。</x:v>
      </x:c>
      <x:c r="D24" s="27" t="str">
        <x:v>第47—49回</x:v>
      </x:c>
      <x:c r="E24" s="27" t="str">
        <x:v>灵感大王、陈家庄百姓、悟空、观音</x:v>
      </x:c>
      <x:c r="F24" s="27" t="str">
        <x:v>陈家庄献童、悟空八戒替童、观音鱼篮收妖</x:v>
      </x:c>
      <x:c r="G24" s="27" t="str">
        <x:v>地方风险闭环图</x:v>
      </x:c>
      <x:c r="H24" s="27" t="str">
        <x:v>《通天河：当恐惧变成制度》</x:v>
      </x:c>
      <x:c r="I24" s="27" t="str">
        <x:v>待校核原文</x:v>
      </x:c>
      <x:c r="J24" s="27" t="str">
        <x:v>https://zh.wikisource.org/wiki/西游记/第四十七回</x:v>
      </x:c>
      <x:c r="K24" s="27" t="str">
        <x:v>适合面向公众号传播。</x:v>
      </x:c>
      <x:c r="L24" s="27"/>
      <x:c r="M24" s="27"/>
      <x:c r="N24" s="27"/>
    </x:row>
    <x:row r="25" ht="79.19999694824219" hidden="0" customHeight="1">
      <x:c r="A25" s="27" t="str">
        <x:v>Z023</x:v>
      </x:c>
      <x:c r="B25" s="27" t="str">
        <x:v>灵感大王：佛门后台妖怪样本</x:v>
      </x:c>
      <x:c r="C25" s="27" t="str">
        <x:v>灵感大王说明“后台妖怪”不只属于天庭道教系统，灵山/观音系统同样存在资源外溢问题。</x:v>
      </x:c>
      <x:c r="D25" s="27" t="str">
        <x:v>第47—49回</x:v>
      </x:c>
      <x:c r="E25" s="27" t="str">
        <x:v>灵感大王、观音、孙悟空</x:v>
      </x:c>
      <x:c r="F25" s="27" t="str">
        <x:v>观音收金鱼、陈家庄解厄</x:v>
      </x:c>
      <x:c r="G25" s="27" t="str">
        <x:v>后台妖怪来源图</x:v>
      </x:c>
      <x:c r="H25" s="27" t="str">
        <x:v>《后台妖怪不只在天庭：从灵感大王说起》</x:v>
      </x:c>
      <x:c r="I25" s="27" t="str">
        <x:v>待校核原文</x:v>
      </x:c>
      <x:c r="J25" s="27" t="str">
        <x:v>https://zh.wikisource.org/wiki/西游记/第四十九回</x:v>
      </x:c>
      <x:c r="K25" s="27" t="str">
        <x:v>可与黄袍怪、青毛狮子、金角银角对照。</x:v>
      </x:c>
      <x:c r="L25" s="27"/>
      <x:c r="M25" s="27"/>
      <x:c r="N25" s="27"/>
    </x:row>
    <x:row r="26" ht="79.19999694824219" hidden="0" customHeight="1">
      <x:c r="A26" s="27" t="str">
        <x:v>Z024</x:v>
      </x:c>
      <x:c r="B26" s="27" t="str">
        <x:v>金兜洞：法宝压制一切武力</x:v>
      </x:c>
      <x:c r="C26" s="27" t="str">
        <x:v>金刚琢使悟空和诸神的武力、火攻、水攻、雷电等办法失效，问题本质转为资源归属与规则控制。</x:v>
      </x:c>
      <x:c r="D26" s="27" t="str">
        <x:v>第50—52回</x:v>
      </x:c>
      <x:c r="E26" s="27" t="str">
        <x:v>独角兕、金刚琢、悟空、老君、如来</x:v>
      </x:c>
      <x:c r="F26" s="27" t="str">
        <x:v>金刚琢收兵器、诸神失效、如来暗示主人</x:v>
      </x:c>
      <x:c r="G26" s="27" t="str">
        <x:v>工具权力风险图</x:v>
      </x:c>
      <x:c r="H26" s="27" t="str">
        <x:v>《金刚琢：为什么千般计都无用》</x:v>
      </x:c>
      <x:c r="I26" s="27" t="str">
        <x:v>待校核原文</x:v>
      </x:c>
      <x:c r="J26" s="27" t="str">
        <x:v>https://zh.wikisource.org/wiki/西游记/第五十一回</x:v>
      </x:c>
      <x:c r="K26" s="27" t="str">
        <x:v>法宝表核心案例。</x:v>
      </x:c>
      <x:c r="L26" s="27"/>
      <x:c r="M26" s="27"/>
      <x:c r="N26" s="27"/>
    </x:row>
    <x:row r="27" ht="79.19999694824219" hidden="0" customHeight="1">
      <x:c r="A27" s="27" t="str">
        <x:v>Z025</x:v>
      </x:c>
      <x:c r="B27" s="27" t="str">
        <x:v>从平顶山到金兜洞：老君系统二次外溢</x:v>
      </x:c>
      <x:c r="C27" s="27" t="str">
        <x:v>平顶山金角银角与金兜洞独角兕均指向老君系统，显示“人、坐骑、法宝”外流的不同风险形态。</x:v>
      </x:c>
      <x:c r="D27" s="27" t="str">
        <x:v>第32—35回；第50—52回</x:v>
      </x:c>
      <x:c r="E27" s="27" t="str">
        <x:v>太上老君、金角银角、独角兕、金刚琢</x:v>
      </x:c>
      <x:c r="F27" s="27" t="str">
        <x:v>老君收童子、老君收青牛与法宝</x:v>
      </x:c>
      <x:c r="G27" s="27" t="str">
        <x:v>后台系统对照表</x:v>
      </x:c>
      <x:c r="H27" s="27" t="str">
        <x:v>《老君的两次善后：童子、坐骑与法宝》</x:v>
      </x:c>
      <x:c r="I27" s="27" t="str">
        <x:v>待校核原文</x:v>
      </x:c>
      <x:c r="J27" s="27" t="str">
        <x:v>https://zh.wikisource.org/wiki/西游记</x:v>
      </x:c>
      <x:c r="K27" s="27" t="str">
        <x:v>可形成后台妖怪专题。</x:v>
      </x:c>
      <x:c r="L27" s="27"/>
      <x:c r="M27" s="27"/>
      <x:c r="N27" s="27"/>
    </x:row>
    <x:row r="28" ht="66" hidden="0" customHeight="1">
      <x:c r="A28" s="27" t="str">
        <x:v>Z027</x:v>
      </x:c>
      <x:c r="B28" s="27" t="str">
        <x:v>女儿国：柔性诱惑为何比妖怪更难</x:v>
      </x:c>
      <x:c r="C28" s="27" t="str">
        <x:v>女儿国段不是简单“色难”，而是情感、王权、礼法、使命叠加的柔性阻滞。</x:v>
      </x:c>
      <x:c r="D28" s="27" t="str">
        <x:v>第53—54回</x:v>
      </x:c>
      <x:c r="E28" s="27" t="str">
        <x:v>唐僧、女儿国王、悟空</x:v>
      </x:c>
      <x:c r="F28" s="27" t="str">
        <x:v>子母河、招赘、倒换关文</x:v>
      </x:c>
      <x:c r="G28" s="27" t="str">
        <x:v>欲望类型对照图</x:v>
      </x:c>
      <x:c r="H28" s="27" t="str">
        <x:v>《女儿国为什么难：温柔乡里的使命边界》</x:v>
      </x:c>
      <x:c r="I28" s="27" t="str">
        <x:v>待校核原文</x:v>
      </x:c>
      <x:c r="J28" s="27" t="str">
        <x:v>https://zh.wikisource.org/wiki/西游记/第五十四回</x:v>
      </x:c>
      <x:c r="K28" s="27" t="str">
        <x:v>避免低俗化解读。</x:v>
      </x:c>
      <x:c r="L28" s="27"/>
      <x:c r="M28" s="27"/>
      <x:c r="N28" s="27"/>
    </x:row>
    <x:row r="29" ht="66" hidden="0" customHeight="1">
      <x:c r="A29" s="27" t="str">
        <x:v>Z028</x:v>
      </x:c>
      <x:c r="B29" s="27" t="str">
        <x:v>身体困局：修行不是脱离身体</x:v>
      </x:c>
      <x:c r="C29" s="27" t="str">
        <x:v>子母河怀孕事件说明取经不只是降妖，也面对身体、性别、环境带来的非常规困局。</x:v>
      </x:c>
      <x:c r="D29" s="27" t="str">
        <x:v>第53回</x:v>
      </x:c>
      <x:c r="E29" s="27" t="str">
        <x:v>唐僧、八戒、悟空、如意真仙</x:v>
      </x:c>
      <x:c r="F29" s="27" t="str">
        <x:v>误饮、怀胎、落胎泉</x:v>
      </x:c>
      <x:c r="G29" s="27" t="str">
        <x:v>风险类型矩阵</x:v>
      </x:c>
      <x:c r="H29" s="27" t="str">
        <x:v>《子母河：当身体成为取经路上的难》</x:v>
      </x:c>
      <x:c r="I29" s="27" t="str">
        <x:v>待校核原文</x:v>
      </x:c>
      <x:c r="J29" s="27" t="str">
        <x:v>https://zh.wikisource.org/wiki/西游记/第五十三回</x:v>
      </x:c>
      <x:c r="K29" s="27" t="str">
        <x:v>适合与健康、身体经验关联。</x:v>
      </x:c>
      <x:c r="L29" s="27"/>
      <x:c r="M29" s="27"/>
      <x:c r="N29" s="27"/>
    </x:row>
    <x:row r="30" ht="52.79999923706055" hidden="0" customHeight="1">
      <x:c r="A30" s="27" t="str">
        <x:v>Z029</x:v>
      </x:c>
      <x:c r="B30" s="27" t="str">
        <x:v>蝎子精：诱惑与攻击合一</x:v>
      </x:c>
      <x:c r="C30" s="27" t="str">
        <x:v>蝎子精不是柔性情感诱惑，而是色欲、暴力与毒性异能结合的高危妖怪。</x:v>
      </x:c>
      <x:c r="D30" s="27" t="str">
        <x:v>第55回</x:v>
      </x:c>
      <x:c r="E30" s="27" t="str">
        <x:v>蝎子精、唐僧、悟空、昴日星官</x:v>
      </x:c>
      <x:c r="F30" s="27" t="str">
        <x:v>摄唐僧、倒马毒桩、昴日降妖</x:v>
      </x:c>
      <x:c r="G30" s="27" t="str">
        <x:v>专业克制链条图</x:v>
      </x:c>
      <x:c r="H30" s="27" t="str">
        <x:v>《蝎子精之难：不是美色，是带毒的攻击》</x:v>
      </x:c>
      <x:c r="I30" s="27" t="str">
        <x:v>待校核原文</x:v>
      </x:c>
      <x:c r="J30" s="27" t="str">
        <x:v>https://zh.wikisource.org/wiki/西游记/第五十五回</x:v>
      </x:c>
      <x:c r="K30" s="27" t="str">
        <x:v>可与女儿国王对比。</x:v>
      </x:c>
      <x:c r="L30" s="27"/>
      <x:c r="M30" s="27"/>
      <x:c r="N30" s="27"/>
    </x:row>
    <x:row r="31" ht="52.79999923706055" hidden="0" customHeight="1">
      <x:c r="A31" s="27" t="str">
        <x:v>Z030</x:v>
      </x:c>
      <x:c r="B31" s="27" t="str">
        <x:v>放心猿：执行尺度如何造成信任裂缝</x:v>
      </x:c>
      <x:c r="C31" s="27" t="str">
        <x:v>悟空诛草寇表面是除恶，深层却触发唐僧对其暴力边界的不信任。</x:v>
      </x:c>
      <x:c r="D31" s="27" t="str">
        <x:v>第56回</x:v>
      </x:c>
      <x:c r="E31" s="27" t="str">
        <x:v>孙悟空、唐僧、草寇</x:v>
      </x:c>
      <x:c r="F31" s="27" t="str">
        <x:v>诛草寇、唐僧责怪、放心猿</x:v>
      </x:c>
      <x:c r="G31" s="27" t="str">
        <x:v>外部事件—内部裂缝因果图</x:v>
      </x:c>
      <x:c r="H31" s="27" t="str">
        <x:v>《从草寇到二心：一场小冲突如何引爆大危机》</x:v>
      </x:c>
      <x:c r="I31" s="27" t="str">
        <x:v>待校核原文</x:v>
      </x:c>
      <x:c r="J31" s="27" t="str">
        <x:v>https://zh.wikisource.org/wiki/西游记/第五十六回</x:v>
      </x:c>
      <x:c r="K31" s="27" t="str">
        <x:v>连接真假美猴王。</x:v>
      </x:c>
      <x:c r="L31" s="27"/>
      <x:c r="M31" s="27"/>
      <x:c r="N31" s="27"/>
    </x:row>
    <x:row r="32" ht="52.79999923706055" hidden="0" customHeight="1">
      <x:c r="A32" s="27" t="str">
        <x:v>Z031</x:v>
      </x:c>
      <x:c r="B32" s="27" t="str">
        <x:v>真假美猴王：最难降伏的是另一个自己</x:v>
      </x:c>
      <x:c r="C32" s="27" t="str">
        <x:v>六耳猕猴高度复制悟空，象征二心、自我分裂与身份危机。</x:v>
      </x:c>
      <x:c r="D32" s="27" t="str">
        <x:v>第57—58回</x:v>
      </x:c>
      <x:c r="E32" s="27" t="str">
        <x:v>孙悟空、六耳猕猴、如来、谛听</x:v>
      </x:c>
      <x:c r="F32" s="27" t="str">
        <x:v>真假难辨、谛听、如来识破</x:v>
      </x:c>
      <x:c r="G32" s="27" t="str">
        <x:v>二心结构图</x:v>
      </x:c>
      <x:c r="H32" s="27" t="str">
        <x:v>《真假美猴王：人为什么会和自己打起来》</x:v>
      </x:c>
      <x:c r="I32" s="27" t="str">
        <x:v>待校核原文</x:v>
      </x:c>
      <x:c r="J32" s="27" t="str">
        <x:v>https://zh.wikisource.org/wiki/西游记/第五十八回</x:v>
      </x:c>
      <x:c r="K32" s="27" t="str">
        <x:v>全书核心专题。</x:v>
      </x:c>
      <x:c r="L32" s="27"/>
      <x:c r="M32" s="27"/>
      <x:c r="N32" s="27"/>
    </x:row>
    <x:row r="33" ht="66" hidden="0" customHeight="1">
      <x:c r="A33" s="27" t="str">
        <x:v>Z032</x:v>
      </x:c>
      <x:c r="B33" s="27" t="str">
        <x:v>谛听为什么不直接说破</x:v>
      </x:c>
      <x:c r="C33" s="27" t="str">
        <x:v>谛听能辨真假却不直接裁断，说明识别能力、处置权限和风险承担是三回事。</x:v>
      </x:c>
      <x:c r="D33" s="27" t="str">
        <x:v>第58回</x:v>
      </x:c>
      <x:c r="E33" s="27" t="str">
        <x:v>谛听、地藏王、如来、真假悟空</x:v>
      </x:c>
      <x:c r="F33" s="27" t="str">
        <x:v>谛听辨识、建议赴灵山</x:v>
      </x:c>
      <x:c r="G33" s="27" t="str">
        <x:v>证据链与裁决权流程图</x:v>
      </x:c>
      <x:c r="H33" s="27" t="str">
        <x:v>《谛听知道真相，为什么还要上报如来》</x:v>
      </x:c>
      <x:c r="I33" s="27" t="str">
        <x:v>待校核原文</x:v>
      </x:c>
      <x:c r="J33" s="27" t="str">
        <x:v>https://zh.wikisource.org/wiki/西游记/第五十八回</x:v>
      </x:c>
      <x:c r="K33" s="27" t="str">
        <x:v>非常适合组织管理解读。</x:v>
      </x:c>
      <x:c r="L33" s="27"/>
      <x:c r="M33" s="27"/>
      <x:c r="N33" s="27"/>
    </x:row>
    <x:row r="34" ht="66" hidden="0" customHeight="1">
      <x:c r="A34" s="27" t="str">
        <x:v>Z034</x:v>
      </x:c>
      <x:c r="B34" s="27" t="str">
        <x:v>火焰山：不可绕行的环境风险</x:v>
      </x:c>
      <x:c r="C34" s="27" t="str">
        <x:v>火焰山不是一般妖怪阻路，而是路线、自然环境、历史因果和关键资源交织的系统性瓶颈。</x:v>
      </x:c>
      <x:c r="D34" s="27" t="str">
        <x:v>第59—61回</x:v>
      </x:c>
      <x:c r="E34" s="27" t="str">
        <x:v>唐僧团队、火焰山土地、铁扇公主</x:v>
      </x:c>
      <x:c r="F34" s="27" t="str">
        <x:v>火焰山受阻、土地说明、寻扇过程</x:v>
      </x:c>
      <x:c r="G34" s="27" t="str">
        <x:v>路线瓶颈图/风险链图</x:v>
      </x:c>
      <x:c r="H34" s="27" t="str">
        <x:v>《火焰山为什么难过：一座山背后的系统风险》</x:v>
      </x:c>
      <x:c r="I34" s="27" t="str">
        <x:v>待校核原文</x:v>
      </x:c>
      <x:c r="J34" s="27" t="str">
        <x:v>https://zh.wikisource.org/wiki/西游记/第五十九回</x:v>
      </x:c>
      <x:c r="K34" s="27" t="str">
        <x:v>V1.0主专题之一。</x:v>
      </x:c>
      <x:c r="L34" s="27"/>
      <x:c r="M34" s="27"/>
      <x:c r="N34" s="27"/>
    </x:row>
    <x:row r="35" ht="66" hidden="0" customHeight="1">
      <x:c r="A35" s="27" t="str">
        <x:v>Z035</x:v>
      </x:c>
      <x:c r="B35" s="27" t="str">
        <x:v>三调芭蕉扇：关键资源争夺战</x:v>
      </x:c>
      <x:c r="C35" s="27" t="str">
        <x:v>三调不是重复情节，而是资源识别、真假验证、关系博弈和协同破局的递进。</x:v>
      </x:c>
      <x:c r="D35" s="27" t="str">
        <x:v>第59—61回</x:v>
      </x:c>
      <x:c r="E35" s="27" t="str">
        <x:v>悟空、铁扇公主、牛魔王、八戒</x:v>
      </x:c>
      <x:c r="F35" s="27" t="str">
        <x:v>一调、二调、三调芭蕉扇</x:v>
      </x:c>
      <x:c r="G35" s="27" t="str">
        <x:v>三调递进流程图</x:v>
      </x:c>
      <x:c r="H35" s="27" t="str">
        <x:v>《三调芭蕉扇：从借不到到拿到真资源》</x:v>
      </x:c>
      <x:c r="I35" s="27" t="str">
        <x:v>待校核原文</x:v>
      </x:c>
      <x:c r="J35" s="27" t="str">
        <x:v>https://zh.wikisource.org/wiki/西游记/第六十一回</x:v>
      </x:c>
      <x:c r="K35" s="27" t="str">
        <x:v>适合作为公众号单篇。</x:v>
      </x:c>
      <x:c r="L35" s="27"/>
      <x:c r="M35" s="27"/>
      <x:c r="N35" s="27"/>
    </x:row>
    <x:row r="36" ht="66" hidden="0" customHeight="1">
      <x:c r="A36" s="27" t="str">
        <x:v>Z036</x:v>
      </x:c>
      <x:c r="B36" s="27" t="str">
        <x:v>牛魔王家族链：旧怨如何变成新风险</x:v>
      </x:c>
      <x:c r="C36" s="27" t="str">
        <x:v>红孩儿、如意真仙、铁扇公主、牛魔王构成连续家族链，显示取经路上的风险会前后传导。</x:v>
      </x:c>
      <x:c r="D36" s="27" t="str">
        <x:v>第40—42回、第53回、第59—61回</x:v>
      </x:c>
      <x:c r="E36" s="27" t="str">
        <x:v>红孩儿、如意真仙、铁扇公主、牛魔王</x:v>
      </x:c>
      <x:c r="F36" s="27" t="str">
        <x:v>红孩儿被收、落胎泉、铁扇拒借、牛魔王出场</x:v>
      </x:c>
      <x:c r="G36" s="27" t="str">
        <x:v>牛魔王家族关系图</x:v>
      </x:c>
      <x:c r="H36" s="27" t="str">
        <x:v>《从红孩儿到火焰山：牛魔王家族风险链》</x:v>
      </x:c>
      <x:c r="I36" s="27" t="str">
        <x:v>待校核原文</x:v>
      </x:c>
      <x:c r="J36" s="27" t="str">
        <x:v>https://zh.wikisource.org/wiki/西游记/第六十回</x:v>
      </x:c>
      <x:c r="K36" s="27" t="str">
        <x:v>贯通V0.7、V0.9、V1.0。</x:v>
      </x:c>
      <x:c r="L36" s="27"/>
      <x:c r="M36" s="27"/>
      <x:c r="N36" s="27"/>
    </x:row>
    <x:row r="37" ht="66" hidden="0" customHeight="1">
      <x:c r="A37" s="27" t="str">
        <x:v>Z037</x:v>
      </x:c>
      <x:c r="B37" s="27" t="str">
        <x:v>芭蕉扇：法宝也是治理资源</x:v>
      </x:c>
      <x:c r="C37" s="27" t="str">
        <x:v>芭蕉扇不是单纯斗法工具，而是熄灭火焰山、恢复路线通行的环境治理资源。</x:v>
      </x:c>
      <x:c r="D37" s="27" t="str">
        <x:v>第59—61回</x:v>
      </x:c>
      <x:c r="E37" s="27" t="str">
        <x:v>铁扇公主、孙悟空、火焰山</x:v>
      </x:c>
      <x:c r="F37" s="27" t="str">
        <x:v>真假扇、真扇灭火、归还芭蕉扇</x:v>
      </x:c>
      <x:c r="G37" s="27" t="str">
        <x:v>法宝功能分类图</x:v>
      </x:c>
      <x:c r="H37" s="27" t="str">
        <x:v>《芭蕉扇不是武器，是治理资源》</x:v>
      </x:c>
      <x:c r="I37" s="27" t="str">
        <x:v>待校核原文</x:v>
      </x:c>
      <x:c r="J37" s="27" t="str">
        <x:v>https://zh.wikisource.org/wiki/西游记/第六十一回</x:v>
      </x:c>
      <x:c r="K37" s="27" t="str">
        <x:v>与金刚琢、三昧真火对照。</x:v>
      </x:c>
      <x:c r="L37" s="27"/>
      <x:c r="M37" s="27"/>
      <x:c r="N37" s="27"/>
    </x:row>
    <x:row r="38" ht="79.19999694824219" hidden="0" customHeight="1">
      <x:c r="A38" s="27" t="str">
        <x:v>Z038</x:v>
      </x:c>
      <x:c r="B38" s="27" t="str">
        <x:v>祭赛国失宝冤案：从扫塔到追赃</x:v>
      </x:c>
      <x:c r="C38" s="27" t="str">
        <x:v>第62—63回把‘失宝—冤僧—追查—夺回’写成完整证据链，适合研究古典小说中的案件治理。</x:v>
      </x:c>
      <x:c r="D38" s="27" t="str">
        <x:v>第62—63回</x:v>
      </x:c>
      <x:c r="E38" s="27" t="str">
        <x:v>祭赛国王、金光寺僧、悟空、九头虫、万圣龙王</x:v>
      </x:c>
      <x:c r="F38" s="27" t="str">
        <x:v>僧众受冤、夜扫宝塔、碧波潭夺宝</x:v>
      </x:c>
      <x:c r="G38" s="27" t="str">
        <x:v>证据链流程图</x:v>
      </x:c>
      <x:c r="H38" s="27" t="str">
        <x:v>《祭赛国失宝案：西游记里的冤案昭雪》</x:v>
      </x:c>
      <x:c r="I38" s="27" t="str">
        <x:v>待校核原文</x:v>
      </x:c>
      <x:c r="J38" s="27" t="str">
        <x:v>https://zh.wikisource.org/wiki/西游记/第六十二回</x:v>
      </x:c>
      <x:c r="K38" s="27" t="str">
        <x:v>可与乌鸡国真王复位对比。</x:v>
      </x:c>
      <x:c r="L38" s="27"/>
      <x:c r="M38" s="27"/>
      <x:c r="N38" s="27"/>
    </x:row>
    <x:row r="39" ht="79.19999694824219" hidden="0" customHeight="1">
      <x:c r="A39" s="27" t="str">
        <x:v>Z039</x:v>
      </x:c>
      <x:c r="B39" s="27" t="str">
        <x:v>九头虫与联盟妖怪</x:v>
      </x:c>
      <x:c r="C39" s="27" t="str">
        <x:v>九头虫不是孤立妖怪，而是与碧波潭龙宫、万圣公主形成联盟，体现中后段妖怪关系复杂化。</x:v>
      </x:c>
      <x:c r="D39" s="27" t="str">
        <x:v>第62—63回</x:v>
      </x:c>
      <x:c r="E39" s="27" t="str">
        <x:v>九头虫、万圣龙王、万圣公主、二郎神、悟空</x:v>
      </x:c>
      <x:c r="F39" s="27" t="str">
        <x:v>九头虫出场、龙宫关系、二郎神助战</x:v>
      </x:c>
      <x:c r="G39" s="27" t="str">
        <x:v>联盟关系网络图</x:v>
      </x:c>
      <x:c r="H39" s="27" t="str">
        <x:v>《九头虫：为什么中后段妖怪越来越像利益联盟》</x:v>
      </x:c>
      <x:c r="I39" s="27" t="str">
        <x:v>待校核原文</x:v>
      </x:c>
      <x:c r="J39" s="27" t="str">
        <x:v>https://zh.wikisource.org/wiki/西游记/第六十三回</x:v>
      </x:c>
      <x:c r="K39" s="27" t="str">
        <x:v>适合纳入后台妖怪与联盟妖怪横向表。</x:v>
      </x:c>
      <x:c r="L39" s="27"/>
      <x:c r="M39" s="27"/>
      <x:c r="N39" s="27"/>
    </x:row>
    <x:row r="40" ht="79.19999694824219" hidden="0" customHeight="1">
      <x:c r="A40" s="27" t="str">
        <x:v>Z040</x:v>
      </x:c>
      <x:c r="B40" s="27" t="str">
        <x:v>木仙庵：诗文雅趣也是迷障</x:v>
      </x:c>
      <x:c r="C40" s="27" t="str">
        <x:v>第64回不是普通妖怪战斗，而是‘雅趣牵缠’：诗文、名士气、柔性情欲共同拖延取经正路。</x:v>
      </x:c>
      <x:c r="D40" s="27" t="str">
        <x:v>第64回</x:v>
      </x:c>
      <x:c r="E40" s="27" t="str">
        <x:v>唐僧、杏仙、木仙庵树精、八戒</x:v>
      </x:c>
      <x:c r="F40" s="27" t="str">
        <x:v>谈诗、诱留、八戒开路</x:v>
      </x:c>
      <x:c r="G40" s="27" t="str">
        <x:v>软性诱惑结构图</x:v>
      </x:c>
      <x:c r="H40" s="27" t="str">
        <x:v>《木仙庵谈诗：西游记里最文雅的一场迷障》</x:v>
      </x:c>
      <x:c r="I40" s="27" t="str">
        <x:v>待校核原文</x:v>
      </x:c>
      <x:c r="J40" s="27" t="str">
        <x:v>https://zh.wikisource.org/wiki/西游记/第六十四回</x:v>
      </x:c>
      <x:c r="K40" s="27" t="str">
        <x:v>适合公开传播，趣味性强。</x:v>
      </x:c>
      <x:c r="L40" s="27"/>
      <x:c r="M40" s="27"/>
      <x:c r="N40" s="27"/>
    </x:row>
    <x:row r="41" ht="52.79999923706055" hidden="0" customHeight="1">
      <x:c r="A41" s="27" t="str">
        <x:v>Z041</x:v>
      </x:c>
      <x:c r="B41" s="27" t="str">
        <x:v>小雷音寺：假权威为何最危险</x:v>
      </x:c>
      <x:c r="C41" s="27" t="str">
        <x:v>黄眉假设小雷音，利用唐僧对灵山/佛门符号的信任，使四众集体误入。</x:v>
      </x:c>
      <x:c r="D41" s="27" t="str">
        <x:v>第65—66回</x:v>
      </x:c>
      <x:c r="E41" s="27" t="str">
        <x:v>黄眉、唐僧、悟空、弥勒</x:v>
      </x:c>
      <x:c r="F41" s="27" t="str">
        <x:v>假雷音寺、金铙、人种袋、弥勒收妖</x:v>
      </x:c>
      <x:c r="G41" s="27" t="str">
        <x:v>真假权威辨识图</x:v>
      </x:c>
      <x:c r="H41" s="27" t="str">
        <x:v>《小雷音寺：披着真理外衣的骗局》</x:v>
      </x:c>
      <x:c r="I41" s="27" t="str">
        <x:v>待校核原文</x:v>
      </x:c>
      <x:c r="J41" s="27" t="str">
        <x:v>https://zh.wikisource.org/wiki/西游记/第六十五回</x:v>
      </x:c>
      <x:c r="K41" s="27" t="str">
        <x:v>可与假观音、真假美猴王合成专题。</x:v>
      </x:c>
      <x:c r="L41" s="27"/>
      <x:c r="M41" s="27"/>
      <x:c r="N41" s="27"/>
    </x:row>
    <x:row r="42" ht="52.79999923706055" hidden="0" customHeight="1">
      <x:c r="A42" s="27" t="str">
        <x:v>Z042</x:v>
      </x:c>
      <x:c r="B42" s="27" t="str">
        <x:v>人种袋与金铙：法宝压制救援系统</x:v>
      </x:c>
      <x:c r="C42" s="27" t="str">
        <x:v>小雷音寺段再次说明，法宝不仅提升战斗力，还能让多轮救援失效。</x:v>
      </x:c>
      <x:c r="D42" s="27" t="str">
        <x:v>第65—66回</x:v>
      </x:c>
      <x:c r="E42" s="27" t="str">
        <x:v>黄眉、悟空、诸神、弥勒</x:v>
      </x:c>
      <x:c r="F42" s="27" t="str">
        <x:v>金铙困悟空、人种袋收诸神、弥勒收束</x:v>
      </x:c>
      <x:c r="G42" s="27" t="str">
        <x:v>法宝风险矩阵</x:v>
      </x:c>
      <x:c r="H42" s="27" t="str">
        <x:v>《为什么诸神都被黄眉装进袋子里》</x:v>
      </x:c>
      <x:c r="I42" s="27" t="str">
        <x:v>待校核原文</x:v>
      </x:c>
      <x:c r="J42" s="27" t="str">
        <x:v>https://zh.wikisource.org/wiki/西游记/第六十六回</x:v>
      </x:c>
      <x:c r="K42" s="27" t="str">
        <x:v>可与金兜洞金刚琢对比。</x:v>
      </x:c>
      <x:c r="L42" s="27"/>
      <x:c r="M42" s="27"/>
      <x:c r="N42" s="27"/>
    </x:row>
    <x:row r="43" ht="66" hidden="0" customHeight="1">
      <x:c r="A43" s="27" t="str">
        <x:v>Z043</x:v>
      </x:c>
      <x:c r="B43" s="27" t="str">
        <x:v>驼罗庄：降妖也是清理污秽</x:v>
      </x:c>
      <x:c r="C43" s="27" t="str">
        <x:v>第67回把妖怪风险、环境污秽、道路阻断、民众困扰合写，是基层治理意味很强的一回。</x:v>
      </x:c>
      <x:c r="D43" s="27" t="str">
        <x:v>第67回</x:v>
      </x:c>
      <x:c r="E43" s="27" t="str">
        <x:v>蟒蛇精、悟空、八戒、驼罗庄众人</x:v>
      </x:c>
      <x:c r="F43" s="27" t="str">
        <x:v>蟒蛇精、秽污、清障复路</x:v>
      </x:c>
      <x:c r="G43" s="27" t="str">
        <x:v>环境治理示意图</x:v>
      </x:c>
      <x:c r="H43" s="27" t="str">
        <x:v>《从驼罗庄看西游记里的基层治理》</x:v>
      </x:c>
      <x:c r="I43" s="27" t="str">
        <x:v>待校核原文</x:v>
      </x:c>
      <x:c r="J43" s="27" t="str">
        <x:v>https://zh.wikisource.org/wiki/西游记/第六十七回</x:v>
      </x:c>
      <x:c r="K43" s="27" t="str">
        <x:v>可联系第62回‘涤垢洗心’。</x:v>
      </x:c>
      <x:c r="L43" s="27"/>
      <x:c r="M43" s="27"/>
      <x:c r="N43" s="27"/>
    </x:row>
    <x:row r="44" ht="79.19999694824219" hidden="0" customHeight="1">
      <x:c r="A44" s="27" t="str">
        <x:v>Z043</x:v>
      </x:c>
      <x:c r="B44" s="27" t="str">
        <x:v>朱紫国：医治与救国</x:v>
      </x:c>
      <x:c r="C44" s="27" t="str">
        <x:v>朱紫国段把身体病、家庭破裂、王权失序和妖魔外患连成一体，悟空的“行医”实为治理介入。</x:v>
      </x:c>
      <x:c r="D44" s="27" t="str">
        <x:v>第68—71回</x:v>
      </x:c>
      <x:c r="E44" s="27" t="str">
        <x:v>孙悟空、朱紫国王、金圣宫娘娘、赛太岁</x:v>
      </x:c>
      <x:c r="F44" s="27" t="str">
        <x:v>悬丝诊脉、配药、追问旧案、救回金圣宫</x:v>
      </x:c>
      <x:c r="G44" s="27" t="str">
        <x:v>病症—旧案—妖怪—秩序恢复流程图</x:v>
      </x:c>
      <x:c r="H44" s="27" t="str">
        <x:v>《朱紫国：治病为什么也是救国》</x:v>
      </x:c>
      <x:c r="I44" s="27" t="str">
        <x:v>待校核原文</x:v>
      </x:c>
      <x:c r="J44" s="27" t="str">
        <x:v>https://zh.wikisource.org/wiki/西游记/第六十八回</x:v>
      </x:c>
      <x:c r="K44" s="27" t="str">
        <x:v>适合做专题文章。</x:v>
      </x:c>
      <x:c r="L44" s="27"/>
      <x:c r="M44" s="27"/>
      <x:c r="N44" s="27"/>
    </x:row>
    <x:row r="45" ht="79.19999694824219" hidden="0" customHeight="1">
      <x:c r="A45" s="27" t="str">
        <x:v>Z044</x:v>
      </x:c>
      <x:c r="B45" s="27" t="str">
        <x:v>金毛犼：观音坐骑系统外溢</x:v>
      </x:c>
      <x:c r="C45" s="27" t="str">
        <x:v>赛太岁不是普通野怪，而是观音坐骑金毛犼，显示后台系统一旦失控，会给人间造成长期损害。</x:v>
      </x:c>
      <x:c r="D45" s="27" t="str">
        <x:v>第69—71回</x:v>
      </x:c>
      <x:c r="E45" s="27" t="str">
        <x:v>赛太岁/金毛犼、观音、金圣宫</x:v>
      </x:c>
      <x:c r="F45" s="27" t="str">
        <x:v>赛太岁身份揭示、观音收伏</x:v>
      </x:c>
      <x:c r="G45" s="27" t="str">
        <x:v>后台妖怪责任链图</x:v>
      </x:c>
      <x:c r="H45" s="27" t="str">
        <x:v>《有后台的妖怪：金毛犼为什么必须由观音收回》</x:v>
      </x:c>
      <x:c r="I45" s="27" t="str">
        <x:v>待校核原文</x:v>
      </x:c>
      <x:c r="J45" s="27" t="str">
        <x:v>https://zh.wikisource.org/wiki/西游记/第七十一回</x:v>
      </x:c>
      <x:c r="K45" s="27" t="str">
        <x:v>与后台妖怪表联动。</x:v>
      </x:c>
      <x:c r="L45" s="27"/>
      <x:c r="M45" s="27"/>
      <x:c r="N45" s="27"/>
    </x:row>
    <x:row r="46" ht="66" hidden="0" customHeight="1">
      <x:c r="A46" s="27" t="str">
        <x:v>Z045</x:v>
      </x:c>
      <x:c r="B46" s="27" t="str">
        <x:v>紫金铃：关键资源决定风险等级</x:v>
      </x:c>
      <x:c r="C46" s="27" t="str">
        <x:v>赛太岁的难度主要来自紫金铃，法宝的烟沙火功能使普通战斗升级为系统资源对抗。</x:v>
      </x:c>
      <x:c r="D46" s="27" t="str">
        <x:v>第70回</x:v>
      </x:c>
      <x:c r="E46" s="27" t="str">
        <x:v>赛太岁、紫金铃、孙悟空</x:v>
      </x:c>
      <x:c r="F46" s="27" t="str">
        <x:v>紫金铃放烟沙火、悟空计盗铃</x:v>
      </x:c>
      <x:c r="G46" s="27" t="str">
        <x:v>法宝能力—反制路径图</x:v>
      </x:c>
      <x:c r="H46" s="27" t="str">
        <x:v>《紫金铃：为什么先夺工具再打妖怪》</x:v>
      </x:c>
      <x:c r="I46" s="27" t="str">
        <x:v>待校核原文</x:v>
      </x:c>
      <x:c r="J46" s="27" t="str">
        <x:v>https://zh.wikisource.org/wiki/西游记/第七十回</x:v>
      </x:c>
      <x:c r="K46" s="27" t="str">
        <x:v>与07_法宝表联动。</x:v>
      </x:c>
      <x:c r="L46" s="27"/>
      <x:c r="M46" s="27"/>
      <x:c r="N46" s="27"/>
    </x:row>
    <x:row r="47" ht="66" hidden="0" customHeight="1">
      <x:c r="A47" s="27" t="str">
        <x:v>Z046</x:v>
      </x:c>
      <x:c r="B47" s="27" t="str">
        <x:v>色欲伤身与王权失序</x:v>
      </x:c>
      <x:c r="C47" s="27" t="str">
        <x:v>金圣宫被掳导致朱紫国王长期病弱，书中将情感创伤、色欲劫掠和政治失衡叠加呈现。</x:v>
      </x:c>
      <x:c r="D47" s="27" t="str">
        <x:v>第68—71回</x:v>
      </x:c>
      <x:c r="E47" s="27" t="str">
        <x:v>朱紫国王、金圣宫、赛太岁</x:v>
      </x:c>
      <x:c r="F47" s="27" t="str">
        <x:v>国王病症、金圣宫旧案、妖邪根源</x:v>
      </x:c>
      <x:c r="G47" s="27" t="str">
        <x:v>病因层级图</x:v>
      </x:c>
      <x:c r="H47" s="27" t="str">
        <x:v>《从国王久病看〈西游记〉的色欲与失序》</x:v>
      </x:c>
      <x:c r="I47" s="27" t="str">
        <x:v>待校核原文</x:v>
      </x:c>
      <x:c r="J47" s="27" t="str">
        <x:v>https://zh.wikisource.org/wiki/西游记/第六十九回</x:v>
      </x:c>
      <x:c r="K47" s="27" t="str">
        <x:v>需谨慎处理，不宜过度现代医学化。</x:v>
      </x:c>
      <x:c r="L47" s="27"/>
      <x:c r="M47" s="27"/>
      <x:c r="N47" s="27"/>
    </x:row>
    <x:row r="48" ht="79.19999694824219" hidden="0" customHeight="1">
      <x:c r="A48" s="27" t="str">
        <x:v>Z047</x:v>
      </x:c>
      <x:c r="B48" s="27" t="str">
        <x:v>悟空的多重角色：医生、侦探、战士、协调者</x:v>
      </x:c>
      <x:c r="C48" s="27" t="str">
        <x:v>朱紫国段悟空不只是战斗者，还承担诊断、调查、计谋、盗宝、救援和协调后台等多重职能。</x:v>
      </x:c>
      <x:c r="D48" s="27" t="str">
        <x:v>第68—71回</x:v>
      </x:c>
      <x:c r="E48" s="27" t="str">
        <x:v>孙悟空、朱紫国王、观音</x:v>
      </x:c>
      <x:c r="F48" s="27" t="str">
        <x:v>诊脉、修药、盗铃、降怪、请观音收束</x:v>
      </x:c>
      <x:c r="G48" s="27" t="str">
        <x:v>悟空角色雷达图</x:v>
      </x:c>
      <x:c r="H48" s="27" t="str">
        <x:v>《悟空不只会打：朱紫国段的复合型能力》</x:v>
      </x:c>
      <x:c r="I48" s="27" t="str">
        <x:v>待校核原文</x:v>
      </x:c>
      <x:c r="J48" s="27" t="str">
        <x:v>https://zh.wikisource.org/wiki/西游记/第七十一回</x:v>
      </x:c>
      <x:c r="K48" s="27" t="str">
        <x:v>适合组织管理线。</x:v>
      </x:c>
      <x:c r="L48" s="27"/>
      <x:c r="M48" s="27"/>
      <x:c r="N48" s="27"/>
    </x:row>
    <x:row r="49">
      <x:c r="A49" s="27" t="str">
        <x:v>Z048</x:v>
      </x:c>
      <x:c r="B49" s="27" t="str">
        <x:v>盘丝洞：欲望如何变成缠缚</x:v>
      </x:c>
      <x:c r="C49" s="27" t="str">
        <x:v>盘丝洞之难不是单纯女妖诱惑，而是把身体、好奇、欲望、环境和缠缚机制组合成风险系统。</x:v>
      </x:c>
      <x:c r="D49" s="27" t="str">
        <x:v>第72回</x:v>
      </x:c>
      <x:c r="E49" s="27" t="str">
        <x:v>唐僧、八戒、蜘蛛精、悟空</x:v>
      </x:c>
      <x:c r="F49" s="27" t="str">
        <x:v>唐僧入洞、八戒濯垢泉忘形、蛛丝缠缚</x:v>
      </x:c>
      <x:c r="G49" s="27" t="str">
        <x:v>欲望风险链条图</x:v>
      </x:c>
      <x:c r="H49" s="27" t="str">
        <x:v>《盘丝洞：欲望如何变成缠缚》</x:v>
      </x:c>
      <x:c r="I49" s="27" t="str">
        <x:v>待校核原文</x:v>
      </x:c>
      <x:c r="J49" s="27" t="str">
        <x:v>https://zh.wikisource.org/wiki/西游记/第72回</x:v>
      </x:c>
      <x:c r="K49" s="27" t="str">
        <x:v>适合公众号连载，语言可写得有趣而不轻佻。</x:v>
      </x:c>
      <x:c r="L49" s="27"/>
      <x:c r="M49" s="27"/>
      <x:c r="N49" s="27"/>
    </x:row>
    <x:row r="50">
      <x:c r="A50" s="27" t="str">
        <x:v>Z049</x:v>
      </x:c>
      <x:c r="B50" s="27" t="str">
        <x:v>八戒忘形：普通人的身体与修行</x:v>
      </x:c>
      <x:c r="C50" s="27" t="str">
        <x:v>八戒的滑稽背后是普通人的身体性；《西游记》并不否认身体，而是反复提醒人要在身体处境中修行。</x:v>
      </x:c>
      <x:c r="D50" s="27" t="str">
        <x:v>第72回</x:v>
      </x:c>
      <x:c r="E50" s="27" t="str">
        <x:v>猪八戒、蜘蛛精</x:v>
      </x:c>
      <x:c r="F50" s="27" t="str">
        <x:v>濯垢泉、八戒忘形、被困后求救</x:v>
      </x:c>
      <x:c r="G50" s="27" t="str">
        <x:v>八戒风险—贡献双轴图</x:v>
      </x:c>
      <x:c r="H50" s="27" t="str">
        <x:v>《八戒忘形：普通人的身体与修行》</x:v>
      </x:c>
      <x:c r="I50" s="27" t="str">
        <x:v>待校核原文</x:v>
      </x:c>
      <x:c r="J50" s="27" t="str">
        <x:v>https://zh.wikisource.org/wiki/西游记/第72回</x:v>
      </x:c>
      <x:c r="K50" s="27" t="str">
        <x:v>可接续“八戒为什么不能被开除”。</x:v>
      </x:c>
      <x:c r="L50" s="27"/>
      <x:c r="M50" s="27"/>
      <x:c r="N50" s="27"/>
    </x:row>
    <x:row r="51">
      <x:c r="A51" s="27" t="str">
        <x:v>Z050</x:v>
      </x:c>
      <x:c r="B51" s="27" t="str">
        <x:v>蜈蚣精：旧恨之毒与障眼之光</x:v>
      </x:c>
      <x:c r="C51" s="27" t="str">
        <x:v>多目怪的厉害不在蛮力，而在毒与光：它让人中毒、失明、失去判断，象征旧怨和偏见对心性的遮蔽。</x:v>
      </x:c>
      <x:c r="D51" s="27" t="str">
        <x:v>第73回</x:v>
      </x:c>
      <x:c r="E51" s="27" t="str">
        <x:v>蜈蚣精/多目怪、悟空、唐僧</x:v>
      </x:c>
      <x:c r="F51" s="27" t="str">
        <x:v>毒茶、金光毒眼、悟空受制</x:v>
      </x:c>
      <x:c r="G51" s="27" t="str">
        <x:v>能力克制关系图</x:v>
      </x:c>
      <x:c r="H51" s="27" t="str">
        <x:v>《蜈蚣精：旧恨之毒与障眼之光》</x:v>
      </x:c>
      <x:c r="I51" s="27" t="str">
        <x:v>待校核原文</x:v>
      </x:c>
      <x:c r="J51" s="27" t="str">
        <x:v>https://zh.wikisource.org/wiki/西游记/第73回</x:v>
      </x:c>
      <x:c r="K51" s="27" t="str">
        <x:v>可与黄眉、人种袋、金刚琢等“克制型风险”比较。</x:v>
      </x:c>
      <x:c r="L51" s="27"/>
      <x:c r="M51" s="27"/>
      <x:c r="N51" s="27"/>
    </x:row>
    <x:row r="52">
      <x:c r="A52" s="27" t="str">
        <x:v>Z051</x:v>
      </x:c>
      <x:c r="B52" s="27" t="str">
        <x:v>毗蓝婆：外部专家如何破局</x:v>
      </x:c>
      <x:c r="C52" s="27" t="str">
        <x:v>悟空并非无所不能；遇到专业克制时，关键在于识别外援、接受外援，并用对症工具破局。</x:v>
      </x:c>
      <x:c r="D52" s="27" t="str">
        <x:v>第73回</x:v>
      </x:c>
      <x:c r="E52" s="27" t="str">
        <x:v>毗蓝婆、孙悟空、蜈蚣精</x:v>
      </x:c>
      <x:c r="F52" s="27" t="str">
        <x:v>悟空求援、毗蓝婆绣花针破法</x:v>
      </x:c>
      <x:c r="G52" s="27" t="str">
        <x:v>外部救援网络图</x:v>
      </x:c>
      <x:c r="H52" s="27" t="str">
        <x:v>《悟空也有盲区：毗蓝婆如何破局》</x:v>
      </x:c>
      <x:c r="I52" s="27" t="str">
        <x:v>待校核原文</x:v>
      </x:c>
      <x:c r="J52" s="27" t="str">
        <x:v>https://zh.wikisource.org/wiki/西游记/第73回</x:v>
      </x:c>
      <x:c r="K52" s="27" t="str">
        <x:v>可纳入“取经救援系统”专题。</x:v>
      </x:c>
      <x:c r="L52" s="27"/>
      <x:c r="M52" s="27"/>
      <x:c r="N52" s="27"/>
    </x:row>
    <x:row r="53">
      <x:c r="A53" s="27" t="str">
        <x:v>Z052</x:v>
      </x:c>
      <x:c r="B53" s="27" t="str">
        <x:v>狮驼岭：全书最重的组织化妖怪风险</x:v>
      </x:c>
      <x:c r="C53" s="27" t="str">
        <x:v>狮驼岭不是单个妖怪作乱，而是三魔集团、群妖系统、区域占据和后台边界叠加形成的极端风险。</x:v>
      </x:c>
      <x:c r="D53" s="27" t="str">
        <x:v>第74—77回</x:v>
      </x:c>
      <x:c r="E53" s="27" t="str">
        <x:v>青狮、白象、大鹏、狮驼国群妖、悟空、如来</x:v>
      </x:c>
      <x:c r="F53" s="27" t="str">
        <x:v>太白金星预警、悟空侦察、三魔组织、如来收束</x:v>
      </x:c>
      <x:c r="G53" s="27" t="str">
        <x:v>三魔组织结构图/风险分层图</x:v>
      </x:c>
      <x:c r="H53" s="27" t="str">
        <x:v>《狮驼岭为什么是〈西游记〉最重的一难》</x:v>
      </x:c>
      <x:c r="I53" s="27" t="str">
        <x:v>待校核原文</x:v>
      </x:c>
      <x:c r="J53" s="27" t="str">
        <x:v>https://zh.wikisource.org/wiki/西游记/第七十七回</x:v>
      </x:c>
      <x:c r="K53" s="27" t="str">
        <x:v>适合作为后台妖怪研究的核心专题。</x:v>
      </x:c>
      <x:c r="L53" s="27"/>
      <x:c r="M53" s="27"/>
      <x:c r="N53" s="27"/>
    </x:row>
    <x:row r="54">
      <x:c r="A54" s="27" t="str">
        <x:v>Z053</x:v>
      </x:c>
      <x:c r="B54" s="27" t="str">
        <x:v>后台边界：从坐骑失控到最高权威收束</x:v>
      </x:c>
      <x:c r="C54" s="27" t="str">
        <x:v>青狮、白象、大鹏分别牵出文殊、普贤、如来系统，说明后台妖怪不是简单‘有关系’，而是责任边界和系统收束问题。</x:v>
      </x:c>
      <x:c r="D54" s="27" t="str">
        <x:v>第74—77回</x:v>
      </x:c>
      <x:c r="E54" s="27" t="str">
        <x:v>文殊、普贤、如来、三魔</x:v>
      </x:c>
      <x:c r="F54" s="27" t="str">
        <x:v>三魔身份揭示、文殊普贤收坐骑、如来收大鹏</x:v>
      </x:c>
      <x:c r="G54" s="27" t="str">
        <x:v>后台责任链图</x:v>
      </x:c>
      <x:c r="H54" s="27" t="str">
        <x:v>《有后台的妖怪：狮驼岭把问题推到极致》</x:v>
      </x:c>
      <x:c r="I54" s="27" t="str">
        <x:v>待校核原文</x:v>
      </x:c>
      <x:c r="J54" s="27" t="str">
        <x:v>https://zh.wikisource.org/wiki/西游记/第七十七回</x:v>
      </x:c>
      <x:c r="K54" s="27" t="str">
        <x:v>可与黄袍怪、金角银角、金毛犼对照。</x:v>
      </x:c>
      <x:c r="L54" s="27"/>
      <x:c r="M54" s="27"/>
      <x:c r="N54" s="27"/>
    </x:row>
    <x:row r="55">
      <x:c r="A55" s="27" t="str">
        <x:v>Z054</x:v>
      </x:c>
      <x:c r="B55" s="27" t="str">
        <x:v>极端风险治理：为什么悟空必须请如来</x:v>
      </x:c>
      <x:c r="C55" s="27" t="str">
        <x:v>悟空很强，但狮驼岭风险牵涉多后台、多妖怪、多层级，个人能力无法完成最终责任收口。</x:v>
      </x:c>
      <x:c r="D55" s="27" t="str">
        <x:v>第74—77回</x:v>
      </x:c>
      <x:c r="E55" s="27" t="str">
        <x:v>孙悟空、如来、三魔</x:v>
      </x:c>
      <x:c r="F55" s="27" t="str">
        <x:v>悟空周旋受限、请如来、如来终裁</x:v>
      </x:c>
      <x:c r="G55" s="27" t="str">
        <x:v>能力边界—治理层级图</x:v>
      </x:c>
      <x:c r="H55" s="27" t="str">
        <x:v>《悟空为什么必须请如来》</x:v>
      </x:c>
      <x:c r="I55" s="27" t="str">
        <x:v>待校核原文</x:v>
      </x:c>
      <x:c r="J55" s="27" t="str">
        <x:v>https://zh.wikisource.org/wiki/西游记/第七十七回</x:v>
      </x:c>
      <x:c r="K55" s="27" t="str">
        <x:v>适合组织管理线。</x:v>
      </x:c>
      <x:c r="L55" s="27"/>
      <x:c r="M55" s="27"/>
      <x:c r="N55" s="27"/>
    </x:row>
    <x:row r="56">
      <x:c r="A56" s="27" t="str">
        <x:v>Z055</x:v>
      </x:c>
      <x:c r="B56" s="27" t="str">
        <x:v>侦察先于处置：太白金星预警与悟空潜入</x:v>
      </x:c>
      <x:c r="C56" s="27" t="str">
        <x:v>第74回显示重大风险处置前，预警、情报、潜入侦察比正面作战更重要。</x:v>
      </x:c>
      <x:c r="D56" s="27" t="str">
        <x:v>第74回</x:v>
      </x:c>
      <x:c r="E56" s="27" t="str">
        <x:v>太白金星、孙悟空、狮驼洞群妖</x:v>
      </x:c>
      <x:c r="F56" s="27" t="str">
        <x:v>长庚传报、悟空变化侦察</x:v>
      </x:c>
      <x:c r="G56" s="27" t="str">
        <x:v>风险处置流程图</x:v>
      </x:c>
      <x:c r="H56" s="27" t="str">
        <x:v>《长庚传报：狮驼岭的风险预警机制》</x:v>
      </x:c>
      <x:c r="I56" s="27" t="str">
        <x:v>待校核原文</x:v>
      </x:c>
      <x:c r="J56" s="27" t="str">
        <x:v>https://zh.wikisource.org/wiki/西游记/第七十四回</x:v>
      </x:c>
      <x:c r="K56" s="27" t="str">
        <x:v>可与功曹传信、土地报信建立预警专题。</x:v>
      </x:c>
      <x:c r="L56" s="27"/>
      <x:c r="M56" s="27"/>
      <x:c r="N56" s="27"/>
    </x:row>
    <x:row r="57">
      <x:c r="A57" s="27" t="str">
        <x:v>Z056</x:v>
      </x:c>
      <x:c r="B57" s="27" t="str">
        <x:v>被吞入腹：进入系统内部寻找弱点</x:v>
      </x:c>
      <x:c r="C57" s="27" t="str">
        <x:v>悟空被青狮吞入腹中，不只是险情，也象征进入强大系统内部，从内部找到反制路径。</x:v>
      </x:c>
      <x:c r="D57" s="27" t="str">
        <x:v>第75回</x:v>
      </x:c>
      <x:c r="E57" s="27" t="str">
        <x:v>孙悟空、青狮</x:v>
      </x:c>
      <x:c r="F57" s="27" t="str">
        <x:v>悟空被吞、腹中反制</x:v>
      </x:c>
      <x:c r="G57" s="27" t="str">
        <x:v>内部突破示意图</x:v>
      </x:c>
      <x:c r="H57" s="27" t="str">
        <x:v>《被吞之后：悟空如何从系统内部破局》</x:v>
      </x:c>
      <x:c r="I57" s="27" t="str">
        <x:v>待校核原文</x:v>
      </x:c>
      <x:c r="J57" s="27" t="str">
        <x:v>https://zh.wikisource.org/wiki/西游记/第七十五回</x:v>
      </x:c>
      <x:c r="K57" s="27" t="str">
        <x:v>可与金兜洞、黄眉等被收摄情节比较。</x:v>
      </x:c>
      <x:c r="L57" s="27"/>
      <x:c r="M57" s="27"/>
      <x:c r="N57" s="27"/>
    </x:row>
    <x:row r="58">
      <x:c r="A58" s="27" t="str">
        <x:v>Z057</x:v>
      </x:c>
      <x:c r="B58" s="27" t="str">
        <x:v>狮驼国群妖：当妖怪成为区域性秩序</x:v>
      </x:c>
      <x:c r="C58" s="27" t="str">
        <x:v>狮驼国段的恐怖在于妖怪不只是袭击路人，而是占据一国、形成秩序，显示失序的规模化。</x:v>
      </x:c>
      <x:c r="D58" s="27" t="str">
        <x:v>第74—77回</x:v>
      </x:c>
      <x:c r="E58" s="27" t="str">
        <x:v>狮驼国群妖、三魔、取经团队</x:v>
      </x:c>
      <x:c r="F58" s="27" t="str">
        <x:v>狮驼国描写、群妖结构、团队危机</x:v>
      </x:c>
      <x:c r="G58" s="27" t="str">
        <x:v>区域风险地图/妖怪组织图</x:v>
      </x:c>
      <x:c r="H58" s="27" t="str">
        <x:v>《从山洞到国土：狮驼国的组织化恐怖》</x:v>
      </x:c>
      <x:c r="I58" s="27" t="str">
        <x:v>待校核原文</x:v>
      </x:c>
      <x:c r="J58" s="27" t="str">
        <x:v>https://zh.wikisource.org/wiki/西游记/第七十七回</x:v>
      </x:c>
      <x:c r="K58" s="27" t="str">
        <x:v>注意表述应稳健，避免过度现代化。</x:v>
      </x:c>
      <x:c r="L58" s="27"/>
      <x:c r="M58" s="27"/>
      <x:c r="N58" s="27"/>
    </x:row>
    <x:row r="59">
      <x:c r="A59" s="27" t="str">
        <x:v>Z058</x:v>
      </x:c>
      <x:c r="B59" s="27" t="str">
        <x:v>比丘国：儿童保护与王权失序</x:v>
      </x:c>
      <x:c r="C59" s="27" t="str">
        <x:v>比丘国段最沉重之处，不在妖怪法力，而在国王以长寿名义牺牲儿童，显示王权失序后的伦理灾难。</x:v>
      </x:c>
      <x:c r="D59" s="27" t="str">
        <x:v>第78—79回</x:v>
      </x:c>
      <x:c r="E59" s="27" t="str">
        <x:v>比丘国王、白鹿精、狐狸精、众小儿、悟空</x:v>
      </x:c>
      <x:c r="F59" s="27" t="str">
        <x:v>国丈献方、儿童被选、悟空识妖、众小儿获救</x:v>
      </x:c>
      <x:c r="G59" s="27" t="str">
        <x:v>风险链条图：妖术—王权—儿童</x:v>
      </x:c>
      <x:c r="H59" s="27" t="str">
        <x:v>《比丘国：当王权向儿童伸手》</x:v>
      </x:c>
      <x:c r="I59" s="27" t="str">
        <x:v>待校核原文</x:v>
      </x:c>
      <x:c r="J59" s="27" t="str">
        <x:v>https://zh.wikisource.org/wiki/西游记/第七十八回</x:v>
      </x:c>
      <x:c r="K59" s="27" t="str">
        <x:v>可作为严肃专题。</x:v>
      </x:c>
      <x:c r="L59" s="27"/>
      <x:c r="M59" s="27"/>
      <x:c r="N59" s="27"/>
    </x:row>
    <x:row r="60">
      <x:c r="A60" s="27" t="str">
        <x:v>Z059</x:v>
      </x:c>
      <x:c r="B60" s="27" t="str">
        <x:v>白鹿精：坐骑后台与养生迷信</x:v>
      </x:c>
      <x:c r="C60" s="27" t="str">
        <x:v>白鹿精以寿星系统资源为背书，借养生迷信进入朝堂，说明后台坐骑风险可以变成公共治理风险。</x:v>
      </x:c>
      <x:c r="D60" s="27" t="str">
        <x:v>第78—79回</x:v>
      </x:c>
      <x:c r="E60" s="27" t="str">
        <x:v>白鹿精、南极老人、比丘国王</x:v>
      </x:c>
      <x:c r="F60" s="27" t="str">
        <x:v>白鹿伪国丈、南极老人收鹿</x:v>
      </x:c>
      <x:c r="G60" s="27" t="str">
        <x:v>后台妖怪对照图</x:v>
      </x:c>
      <x:c r="H60" s="27" t="str">
        <x:v>《白鹿精：长寿欲望如何压倒治理底线》</x:v>
      </x:c>
      <x:c r="I60" s="27" t="str">
        <x:v>待校核原文</x:v>
      </x:c>
      <x:c r="J60" s="27" t="str">
        <x:v>https://zh.wikisource.org/wiki/西游记/第七十九回</x:v>
      </x:c>
      <x:c r="K60" s="27" t="str">
        <x:v>与金毛犼、青毛狮子对比。</x:v>
      </x:c>
      <x:c r="L60" s="27"/>
      <x:c r="M60" s="27"/>
      <x:c r="N60" s="27"/>
    </x:row>
    <x:row r="61">
      <x:c r="A61" s="27" t="str">
        <x:v>Z060</x:v>
      </x:c>
      <x:c r="B61" s="27" t="str">
        <x:v>无底洞：慈悲与边界</x:v>
      </x:c>
      <x:c r="C61" s="27" t="str">
        <x:v>镇海寺救女体现慈悲，但无底洞危机提醒：慈悲如果没有身份核验和边界意识，也可能被妖邪利用。</x:v>
      </x:c>
      <x:c r="D61" s="27" t="str">
        <x:v>第80—83回</x:v>
      </x:c>
      <x:c r="E61" s="27" t="str">
        <x:v>唐僧、地涌夫人、悟空、镇海寺僧</x:v>
      </x:c>
      <x:c r="F61" s="27" t="str">
        <x:v>救女、诱入无底洞、逼婚、悟空识妖</x:v>
      </x:c>
      <x:c r="G61" s="27" t="str">
        <x:v>救助流程风险图</x:v>
      </x:c>
      <x:c r="H61" s="27" t="str">
        <x:v>《无底洞：慈悲也需要边界》</x:v>
      </x:c>
      <x:c r="I61" s="27" t="str">
        <x:v>待校核原文</x:v>
      </x:c>
      <x:c r="J61" s="27" t="str">
        <x:v>https://zh.wikisource.org/wiki/西游记/第八十回</x:v>
      </x:c>
      <x:c r="K61" s="27" t="str">
        <x:v>适合人生修养与组织管理双读。</x:v>
      </x:c>
      <x:c r="L61" s="27"/>
      <x:c r="M61" s="27"/>
      <x:c r="N61" s="27"/>
    </x:row>
    <x:row r="62">
      <x:c r="A62" s="27" t="str">
        <x:v>Z061</x:v>
      </x:c>
      <x:c r="B62" s="27" t="str">
        <x:v>地涌夫人：亲属后台的新类型</x:v>
      </x:c>
      <x:c r="C62" s="27" t="str">
        <x:v>地涌夫人不是坐骑、童子、法宝外流，而是义亲/供奉关系导致的后台样本，扩展了后台妖怪研究类型。</x:v>
      </x:c>
      <x:c r="D62" s="27" t="str">
        <x:v>第80—83回</x:v>
      </x:c>
      <x:c r="E62" s="27" t="str">
        <x:v>地涌夫人、托塔天王、哪吒、悟空</x:v>
      </x:c>
      <x:c r="F62" s="27" t="str">
        <x:v>悟空上天追查、天王哪吒关系、最终收束</x:v>
      </x:c>
      <x:c r="G62" s="27" t="str">
        <x:v>后台类型矩阵图</x:v>
      </x:c>
      <x:c r="H62" s="27" t="str">
        <x:v>《后台妖怪不止坐骑：地涌夫人的身份迷局》</x:v>
      </x:c>
      <x:c r="I62" s="27" t="str">
        <x:v>待校核原文</x:v>
      </x:c>
      <x:c r="J62" s="27" t="str">
        <x:v>https://zh.wikisource.org/wiki/西游记/第八十三回</x:v>
      </x:c>
      <x:c r="K62" s="27" t="str">
        <x:v>应补入后台妖怪表类型体系。</x:v>
      </x:c>
      <x:c r="L62" s="27"/>
      <x:c r="M62" s="27"/>
      <x:c r="N62" s="27"/>
    </x:row>
    <x:row r="63">
      <x:c r="A63" s="27" t="str">
        <x:v>Z062</x:v>
      </x:c>
      <x:c r="B63" s="27" t="str">
        <x:v>儿童风险、欲望风险、亲属风险的连续出现</x:v>
      </x:c>
      <x:c r="C63" s="27" t="str">
        <x:v>第78—83回连续出现三类深层风险：儿童保护底线、欲望婚配陷阱、亲属后台责任，显示后半程风险越来越制度化和身份化。</x:v>
      </x:c>
      <x:c r="D63" s="27" t="str">
        <x:v>第78—83回</x:v>
      </x:c>
      <x:c r="E63" s="27" t="str">
        <x:v>比丘国王、白鹿精、狐狸精、地涌夫人、托塔天王</x:v>
      </x:c>
      <x:c r="F63" s="27" t="str">
        <x:v>比丘国害童、无底洞逼婚、天王关系</x:v>
      </x:c>
      <x:c r="G63" s="27" t="str">
        <x:v>第78—83回风险递进图</x:v>
      </x:c>
      <x:c r="H63" s="27" t="str">
        <x:v>《越近灵山，风险越深：比丘国到无底洞》</x:v>
      </x:c>
      <x:c r="I63" s="27" t="str">
        <x:v>待校核原文</x:v>
      </x:c>
      <x:c r="J63" s="27" t="str">
        <x:v>https://zh.wikisource.org/wiki/西游记</x:v>
      </x:c>
      <x:c r="K63" s="27" t="str">
        <x:v>可作为阶段总结文章。</x:v>
      </x:c>
      <x:c r="L63" s="27"/>
      <x:c r="M63" s="27"/>
      <x:c r="N63" s="27"/>
    </x:row>
    <x:row r="64">
      <x:c r="A64" s="27" t="str">
        <x:v>Z063</x:v>
      </x:c>
      <x:c r="B64" s="27" t="str">
        <x:v>灭法国：制度性偏见也是一难</x:v>
      </x:c>
      <x:c r="C64" s="27" t="str">
        <x:v>第84回没有重型妖怪，却以国家政策和身份标签制造风险，说明取经路上的难也包括制度性偏见。</x:v>
      </x:c>
      <x:c r="D64" s="27" t="str">
        <x:v>第84回</x:v>
      </x:c>
      <x:c r="E64" s="27" t="str">
        <x:v>灭法国王、唐僧团队、孙悟空</x:v>
      </x:c>
      <x:c r="F64" s="27" t="str">
        <x:v>灭法国禁僧、师徒投宿、悟空剃发反转、改名钦法</x:v>
      </x:c>
      <x:c r="G64" s="27" t="str">
        <x:v>制度风险流程图</x:v>
      </x:c>
      <x:c r="H64" s="27" t="str">
        <x:v>《灭法国：没有妖怪的一难》</x:v>
      </x:c>
      <x:c r="I64" s="27" t="str">
        <x:v>待校核原文</x:v>
      </x:c>
      <x:c r="J64" s="27" t="str">
        <x:v>https://zh.wikisource.org/wiki/西游记/第八十四回</x:v>
      </x:c>
      <x:c r="K64" s="27" t="str">
        <x:v>适合作为文学+现实治理双读。</x:v>
      </x:c>
      <x:c r="L64" s="27"/>
      <x:c r="M64" s="27"/>
      <x:c r="N64" s="27"/>
    </x:row>
    <x:row r="65">
      <x:c r="A65" s="27" t="str">
        <x:v>Z064</x:v>
      </x:c>
      <x:c r="B65" s="27" t="str">
        <x:v>剃发反转：身份体验如何破除偏见</x:v>
      </x:c>
      <x:c r="C65" s="27" t="str">
        <x:v>悟空让王臣体验身份转换，核心不是恶作剧，而是以象征反转让掌权者看见自身偏执。</x:v>
      </x:c>
      <x:c r="D65" s="27" t="str">
        <x:v>第84回</x:v>
      </x:c>
      <x:c r="E65" s="27" t="str">
        <x:v>孙悟空、灭法国王、群臣</x:v>
      </x:c>
      <x:c r="F65" s="27" t="str">
        <x:v>剃发改装、王臣惊惧、制度转向</x:v>
      </x:c>
      <x:c r="G65" s="27" t="str">
        <x:v>身份反转示意图</x:v>
      </x:c>
      <x:c r="H65" s="27" t="str">
        <x:v>《剃发一夜：孙悟空怎样改变一个国家》</x:v>
      </x:c>
      <x:c r="I65" s="27" t="str">
        <x:v>待校核原文</x:v>
      </x:c>
      <x:c r="J65" s="27" t="str">
        <x:v>https://zh.wikisource.org/wiki/西游记/第八十四回</x:v>
      </x:c>
      <x:c r="K65" s="27" t="str">
        <x:v>可写成传播性较强的短文。</x:v>
      </x:c>
      <x:c r="L65" s="27"/>
      <x:c r="M65" s="27"/>
      <x:c r="N65" s="27"/>
    </x:row>
    <x:row r="66">
      <x:c r="A66" s="27" t="str">
        <x:v>Z065</x:v>
      </x:c>
      <x:c r="B66" s="27" t="str">
        <x:v>隐雾山：无后台妖怪的常态风险</x:v>
      </x:c>
      <x:c r="C66" s="27" t="str">
        <x:v>南山大王/豹子精没有显赫后台，却仍可凭地形、诱捕和小妖网络形成实际风险，提醒研究不能只盯后台妖怪。</x:v>
      </x:c>
      <x:c r="D66" s="27" t="str">
        <x:v>第85—86回</x:v>
      </x:c>
      <x:c r="E66" s="27" t="str">
        <x:v>南山大王/豹子精、唐僧团队、小妖群</x:v>
      </x:c>
      <x:c r="F66" s="27" t="str">
        <x:v>隐雾山诱捕、唐僧遇险、悟空八戒处置</x:v>
      </x:c>
      <x:c r="G66" s="27" t="str">
        <x:v>后台/非后台风险对照图</x:v>
      </x:c>
      <x:c r="H66" s="27" t="str">
        <x:v>《隐雾山：普通妖怪为什么也危险》</x:v>
      </x:c>
      <x:c r="I66" s="27" t="str">
        <x:v>待校核原文</x:v>
      </x:c>
      <x:c r="J66" s="27" t="str">
        <x:v>https://zh.wikisource.org/wiki/西游记/第八十五回</x:v>
      </x:c>
      <x:c r="K66" s="27" t="str">
        <x:v>补足后台妖怪研究的反面样本。</x:v>
      </x:c>
      <x:c r="L66" s="27"/>
      <x:c r="M66" s="27"/>
      <x:c r="N66" s="27"/>
    </x:row>
    <x:row r="67">
      <x:c r="A67" s="27" t="str">
        <x:v>Z066</x:v>
      </x:c>
      <x:c r="B67" s="27" t="str">
        <x:v>从灭法国到隐雾山：制度风险与山林风险的切换</x:v>
      </x:c>
      <x:c r="C67" s="27" t="str">
        <x:v>第84—86回从王权制度风险切换到山林妖怪风险，显示取经后半程风险类型更加多元。</x:v>
      </x:c>
      <x:c r="D67" s="27" t="str">
        <x:v>第84—86回</x:v>
      </x:c>
      <x:c r="E67" s="27" t="str">
        <x:v>灭法国王、南山大王/豹子精、唐僧团队</x:v>
      </x:c>
      <x:c r="F67" s="27" t="str">
        <x:v>灭法国改心、隐雾山入险、妖怪灭除</x:v>
      </x:c>
      <x:c r="G67" s="27" t="str">
        <x:v>风险类型切换图</x:v>
      </x:c>
      <x:c r="H67" s="27" t="str">
        <x:v>《制度之难与山林之难：第84—86回连读》</x:v>
      </x:c>
      <x:c r="I67" s="27" t="str">
        <x:v>待校核原文</x:v>
      </x:c>
      <x:c r="J67" s="27" t="str">
        <x:v>https://zh.wikisource.org/wiki/西游记</x:v>
      </x:c>
      <x:c r="K67" s="27" t="str">
        <x:v>可作为V1.6阶段总结。</x:v>
      </x:c>
      <x:c r="L67" s="27"/>
      <x:c r="M67" s="27"/>
      <x:c r="N67" s="27"/>
    </x:row>
    <x:row r="68">
      <x:c r="A68" s="27" t="str">
        <x:v>Z067</x:v>
      </x:c>
      <x:c r="B68" s="27" t="str">
        <x:v>凤仙郡：天灾治理与德政修复</x:v>
      </x:c>
      <x:c r="C68" s="27" t="str">
        <x:v>第87回把旱灾写成自然、天庭和地方德政之间的系统性问题，悟空的作用不只是求雨，更是劝善纠偏。</x:v>
      </x:c>
      <x:c r="D68" s="27" t="str">
        <x:v>第87回</x:v>
      </x:c>
      <x:c r="E68" s="27" t="str">
        <x:v>凤仙郡侯、孙悟空、玉帝、雷部</x:v>
      </x:c>
      <x:c r="F68" s="27" t="str">
        <x:v>久旱、上天求雨、郡侯悔过、施霖</x:v>
      </x:c>
      <x:c r="G68" s="27" t="str">
        <x:v>天灾治理闭环图</x:v>
      </x:c>
      <x:c r="H68" s="27" t="str">
        <x:v>《凤仙郡求雨：孙悟空怎样做治理协调》</x:v>
      </x:c>
      <x:c r="I68" s="27" t="str">
        <x:v>待校核原文</x:v>
      </x:c>
      <x:c r="J68" s="27" t="str">
        <x:v>https://zh.wikisource.org/wiki/西游记/第八十七回</x:v>
      </x:c>
      <x:c r="K68" s="27" t="str">
        <x:v>适合做现实治理类解读。</x:v>
      </x:c>
      <x:c r="L68" s="27"/>
      <x:c r="M68" s="27"/>
      <x:c r="N68" s="27"/>
    </x:row>
    <x:row r="69">
      <x:c r="A69" s="27" t="str">
        <x:v>Z068</x:v>
      </x:c>
      <x:c r="B69" s="27" t="str">
        <x:v>玉华州授艺：传承为何会带来风险</x:v>
      </x:c>
      <x:c r="C69" s="27" t="str">
        <x:v>三徒授艺体现团队成熟，但兵器展示与能力外显也引出盗器风险，说明传承必须配套边界和保管机制。</x:v>
      </x:c>
      <x:c r="D69" s="27" t="str">
        <x:v>第88—89回</x:v>
      </x:c>
      <x:c r="E69" s="27" t="str">
        <x:v>悟空、八戒、沙僧、三王子、黄狮精</x:v>
      </x:c>
      <x:c r="F69" s="27" t="str">
        <x:v>三王子拜师、兵器展示、黄狮精盗器</x:v>
      </x:c>
      <x:c r="G69" s="27" t="str">
        <x:v>传承—暴露—风险链图</x:v>
      </x:c>
      <x:c r="H69" s="27" t="str">
        <x:v>《传艺不是炫技：玉华州的风险课》</x:v>
      </x:c>
      <x:c r="I69" s="27" t="str">
        <x:v>待校核原文</x:v>
      </x:c>
      <x:c r="J69" s="27" t="str">
        <x:v>https://zh.wikisource.org/wiki/西游记/第八十八回</x:v>
      </x:c>
      <x:c r="K69" s="27" t="str">
        <x:v>可与企业师徒制、岗位传承类比。</x:v>
      </x:c>
      <x:c r="L69" s="27"/>
      <x:c r="M69" s="27"/>
      <x:c r="N69" s="27"/>
    </x:row>
    <x:row r="70">
      <x:c r="A70" s="27" t="str">
        <x:v>Z069</x:v>
      </x:c>
      <x:c r="B70" s="27" t="str">
        <x:v>黄狮精：关键资源外泄的普通妖怪样本</x:v>
      </x:c>
      <x:c r="C70" s="27" t="str">
        <x:v>黄狮精并非最高阶妖怪，却通过盗取兵器直接动摇取经团队能力，说明普通妖怪也可抓住关键资源制造高影响风险。</x:v>
      </x:c>
      <x:c r="D70" s="27" t="str">
        <x:v>第89回</x:v>
      </x:c>
      <x:c r="E70" s="27" t="str">
        <x:v>黄狮精、孙悟空、猪八戒、沙僧</x:v>
      </x:c>
      <x:c r="F70" s="27" t="str">
        <x:v>盗兵器、钉钯宴、三徒潜入夺器</x:v>
      </x:c>
      <x:c r="G70" s="27" t="str">
        <x:v>关键资源风险矩阵</x:v>
      </x:c>
      <x:c r="H70" s="27" t="str">
        <x:v>《黄狮精为什么危险：偷的不是兵器，是团队能力》</x:v>
      </x:c>
      <x:c r="I70" s="27" t="str">
        <x:v>待校核原文</x:v>
      </x:c>
      <x:c r="J70" s="27" t="str">
        <x:v>https://zh.wikisource.org/wiki/西游记/第八十九回</x:v>
      </x:c>
      <x:c r="K70" s="27" t="str">
        <x:v>法宝表联动。</x:v>
      </x:c>
      <x:c r="L70" s="27"/>
      <x:c r="M70" s="27"/>
      <x:c r="N70" s="27"/>
    </x:row>
    <x:row r="71">
      <x:c r="A71" s="27" t="str">
        <x:v>Z070</x:v>
      </x:c>
      <x:c r="B71" s="27" t="str">
        <x:v>九灵元圣：后台等级升级与终极收束</x:v>
      </x:c>
      <x:c r="C71" s="27" t="str">
        <x:v>九灵元圣将黄狮精段从普通资源盗窃升级为高阶坐骑后台风险，最终必须由太乙救苦天尊收束。</x:v>
      </x:c>
      <x:c r="D71" s="27" t="str">
        <x:v>第90回</x:v>
      </x:c>
      <x:c r="E71" s="27" t="str">
        <x:v>九灵元圣、太乙救苦天尊、黄狮精、悟空</x:v>
      </x:c>
      <x:c r="F71" s="27" t="str">
        <x:v>九灵元圣本相、天尊收伏、坐骑后台</x:v>
      </x:c>
      <x:c r="G71" s="27" t="str">
        <x:v>后台等级阶梯图</x:v>
      </x:c>
      <x:c r="H71" s="27" t="str">
        <x:v>《九灵元圣：后台妖怪的高阶样本》</x:v>
      </x:c>
      <x:c r="I71" s="27" t="str">
        <x:v>待校核原文</x:v>
      </x:c>
      <x:c r="J71" s="27" t="str">
        <x:v>https://zh.wikisource.org/wiki/西游记/第九十回</x:v>
      </x:c>
      <x:c r="K71" s="27" t="str">
        <x:v>可与青狮、白象、大鹏、白鹿、金毛犼对比。</x:v>
      </x:c>
      <x:c r="L71" s="27"/>
      <x:c r="M71" s="27"/>
      <x:c r="N71" s="27"/>
    </x:row>
    <x:row r="72">
      <x:c r="A72" s="27" t="str">
        <x:v>Z071</x:v>
      </x:c>
      <x:c r="B72" s="27" t="str">
        <x:v>从凤仙郡到九灵元圣：后半程风险的四级递进</x:v>
      </x:c>
      <x:c r="C72" s="27" t="str">
        <x:v>第87—90回连续呈现天灾治理、传承外显、资源被盗、后台升级四级风险，显示后半程取经难度更偏系统治理。</x:v>
      </x:c>
      <x:c r="D72" s="27" t="str">
        <x:v>第87—90回</x:v>
      </x:c>
      <x:c r="E72" s="27" t="str">
        <x:v>凤仙郡侯、三王子、黄狮精、九灵元圣、太乙救苦天尊</x:v>
      </x:c>
      <x:c r="F72" s="27" t="str">
        <x:v>求雨、授艺、盗器、天尊收狮</x:v>
      </x:c>
      <x:c r="G72" s="27" t="str">
        <x:v>四级风险递进图</x:v>
      </x:c>
      <x:c r="H72" s="27" t="str">
        <x:v>《越近灵山，风险越像系统工程》</x:v>
      </x:c>
      <x:c r="I72" s="27" t="str">
        <x:v>待校核原文</x:v>
      </x:c>
      <x:c r="J72" s="27" t="str">
        <x:v>https://zh.wikisource.org/wiki/西游记</x:v>
      </x:c>
      <x:c r="K72" s="27" t="str">
        <x:v>阶段总结专题。</x:v>
      </x:c>
      <x:c r="L72" s="27"/>
      <x:c r="M72" s="27"/>
      <x:c r="N72" s="27"/>
    </x:row>
    <x:row r="73">
      <x:c r="A73" s="27" t="str">
        <x:v>Z072</x:v>
      </x:c>
      <x:c r="B73" s="27" t="str">
        <x:v>金平府：祭祀经济与假权威</x:v>
      </x:c>
      <x:c r="C73" s="27" t="str">
        <x:v>第91—92回将妖怪风险写成地方供奉制度，三犀牛怪不只是吃人妖魔，也占据了灯油、观灯和信仰资源。</x:v>
      </x:c>
      <x:c r="D73" s="27" t="str">
        <x:v>第91—92回</x:v>
      </x:c>
      <x:c r="E73" s="27" t="str">
        <x:v>金平府众僧、三犀牛怪、唐僧团队</x:v>
      </x:c>
      <x:c r="F73" s="27" t="str">
        <x:v>元夜观灯、灯油供奉、唐僧供状、四星擒犀</x:v>
      </x:c>
      <x:c r="G73" s="27" t="str">
        <x:v>供奉链条图/假权威识别图</x:v>
      </x:c>
      <x:c r="H73" s="27" t="str">
        <x:v>《金平府：当妖怪占据了供奉系统》</x:v>
      </x:c>
      <x:c r="I73" s="27" t="str">
        <x:v>待校核原文</x:v>
      </x:c>
      <x:c r="J73" s="27" t="str">
        <x:v>https://zh.wikisource.org/wiki/西游记/第九十一回</x:v>
      </x:c>
      <x:c r="K73" s="27" t="str">
        <x:v>可与通天河童男童女祭祀对比。</x:v>
      </x:c>
      <x:c r="L73" s="27"/>
      <x:c r="M73" s="27"/>
      <x:c r="N73" s="27"/>
    </x:row>
    <x:row r="74">
      <x:c r="A74" s="27" t="str">
        <x:v>Z073</x:v>
      </x:c>
      <x:c r="B74" s="27" t="str">
        <x:v>三犀牛怪：专业克制为何重要</x:v>
      </x:c>
      <x:c r="C74" s="27" t="str">
        <x:v>三僧大战并非不能战，而是需要四木禽星这种专业克制资源，说明复杂问题要按属性匹配解决方案。</x:v>
      </x:c>
      <x:c r="D74" s="27" t="str">
        <x:v>第92回</x:v>
      </x:c>
      <x:c r="E74" s="27" t="str">
        <x:v>三犀牛怪、四木禽星、悟空、八戒、沙僧</x:v>
      </x:c>
      <x:c r="F74" s="27" t="str">
        <x:v>三僧大战、四木禽星下界、犀牛怪被擒</x:v>
      </x:c>
      <x:c r="G74" s="27" t="str">
        <x:v>妖怪属性—克制资源矩阵</x:v>
      </x:c>
      <x:c r="H74" s="27" t="str">
        <x:v>《不是所有问题都靠金箍棒解决》</x:v>
      </x:c>
      <x:c r="I74" s="27" t="str">
        <x:v>待校核原文</x:v>
      </x:c>
      <x:c r="J74" s="27" t="str">
        <x:v>https://zh.wikisource.org/wiki/西游记/第九十二回</x:v>
      </x:c>
      <x:c r="K74" s="27" t="str">
        <x:v>可与昴日星官破蝎子精、毗蓝婆破蜈蚣精并列。</x:v>
      </x:c>
      <x:c r="L74" s="27"/>
      <x:c r="M74" s="27"/>
      <x:c r="N74" s="27"/>
    </x:row>
    <x:row r="75">
      <x:c r="A75" s="27" t="str">
        <x:v>Z074</x:v>
      </x:c>
      <x:c r="B75" s="27" t="str">
        <x:v>天竺国：越近灵山越要辨身份</x:v>
      </x:c>
      <x:c r="C75" s="27" t="str">
        <x:v>第93—95回把最后阶段风险转向身份替换：假公主进入王室礼制，唐僧面对体面化婚配诱惑。</x:v>
      </x:c>
      <x:c r="D75" s="27" t="str">
        <x:v>第93—95回</x:v>
      </x:c>
      <x:c r="E75" s="27" t="str">
        <x:v>玉兔精、天竺真公主、天竺国王、唐僧、悟空</x:v>
      </x:c>
      <x:c r="F75" s="27" t="str">
        <x:v>朝王、御花园宴乐、假公主求配、悟空识破</x:v>
      </x:c>
      <x:c r="G75" s="27" t="str">
        <x:v>身份替换流程图</x:v>
      </x:c>
      <x:c r="H75" s="27" t="str">
        <x:v>《天竺国假公主：最后一程的身份迷障》</x:v>
      </x:c>
      <x:c r="I75" s="27" t="str">
        <x:v>待校核原文</x:v>
      </x:c>
      <x:c r="J75" s="27" t="str">
        <x:v>https://zh.wikisource.org/wiki/西游记/第九十五回</x:v>
      </x:c>
      <x:c r="K75" s="27" t="str">
        <x:v>与乌鸡国真假王、真假美猴王联动。</x:v>
      </x:c>
      <x:c r="L75" s="27"/>
      <x:c r="M75" s="27"/>
      <x:c r="N75" s="27"/>
    </x:row>
    <x:row r="76">
      <x:c r="A76" s="27" t="str">
        <x:v>Z075</x:v>
      </x:c>
      <x:c r="B76" s="27" t="str">
        <x:v>玉兔精：后台妖怪的柔性形态</x:v>
      </x:c>
      <x:c r="C76" s="27" t="str">
        <x:v>玉兔精没有以武力压制为主，而是借王室身份和婚配制度达成目的，后台妖怪从法宝、坐骑转为身份嵌入。</x:v>
      </x:c>
      <x:c r="D76" s="27" t="str">
        <x:v>第94—95回</x:v>
      </x:c>
      <x:c r="E76" s="27" t="str">
        <x:v>玉兔精、太阴星君、唐僧、天竺国王</x:v>
      </x:c>
      <x:c r="F76" s="27" t="str">
        <x:v>假公主、婚配、太阴收兔</x:v>
      </x:c>
      <x:c r="G76" s="27" t="str">
        <x:v>后台妖怪类型演进图</x:v>
      </x:c>
      <x:c r="H76" s="27" t="str">
        <x:v>《玉兔精：不是打不过，而是差点认错》</x:v>
      </x:c>
      <x:c r="I76" s="27" t="str">
        <x:v>待校核原文</x:v>
      </x:c>
      <x:c r="J76" s="27" t="str">
        <x:v>https://zh.wikisource.org/wiki/西游记/第九十五回</x:v>
      </x:c>
      <x:c r="K76" s="27" t="str">
        <x:v>后台妖怪表重点样本。</x:v>
      </x:c>
      <x:c r="L76" s="27"/>
      <x:c r="M76" s="27"/>
      <x:c r="N76" s="27"/>
    </x:row>
    <x:row r="77">
      <x:c r="A77" s="27" t="str">
        <x:v>Z076</x:v>
      </x:c>
      <x:c r="B77" s="27" t="str">
        <x:v>临近灵山前的最后迷障：供奉、身份与欲望</x:v>
      </x:c>
      <x:c r="C77" s="27" t="str">
        <x:v>第91—95回连续呈现假神供奉、真假身份、王室婚配，说明最后几难不再只是武力难，而是辨伪与守心之难。</x:v>
      </x:c>
      <x:c r="D77" s="27" t="str">
        <x:v>第91—95回</x:v>
      </x:c>
      <x:c r="E77" s="27" t="str">
        <x:v>三犀牛怪、玉兔精、唐僧、悟空</x:v>
      </x:c>
      <x:c r="F77" s="27" t="str">
        <x:v>观灯供奉、三犀收束、真假公主、唐僧婚配风险</x:v>
      </x:c>
      <x:c r="G77" s="27" t="str">
        <x:v>最后迷障三分图</x:v>
      </x:c>
      <x:c r="H77" s="27" t="str">
        <x:v>《临近灵山，为什么还有这些难？》</x:v>
      </x:c>
      <x:c r="I77" s="27" t="str">
        <x:v>待校核原文</x:v>
      </x:c>
      <x:c r="J77" s="27" t="str">
        <x:v>https://zh.wikisource.org/wiki/西游记</x:v>
      </x:c>
      <x:c r="K77" s="27" t="str">
        <x:v>阶段总结专题。</x:v>
      </x:c>
      <x:c r="L77" s="27"/>
      <x:c r="M77" s="27"/>
      <x:c r="N77" s="27"/>
    </x:row>
    <x:row r="78" ht="48" customHeight="1">
      <x:c r="A78" s="27" t="str">
        <x:v>Z077</x:v>
      </x:c>
      <x:c r="B78" s="27" t="str">
        <x:v>寇员外：善缘为何也会生出风险</x:v>
      </x:c>
      <x:c r="C78" s="27" t="str">
        <x:v>第96—97回把善信供养写成收官前的复杂考验，说明善意、财富、治安和冤案可能在现实中交织。</x:v>
      </x:c>
      <x:c r="D78" s="27" t="str">
        <x:v>第96—97回</x:v>
      </x:c>
      <x:c r="E78" s="27" t="str">
        <x:v>寇员外、唐僧、悟空、强盗/贼人</x:v>
      </x:c>
      <x:c r="F78" s="27" t="str">
        <x:v>寇员外斋僧、唐僧不贪、遭盗劫、悟空救本原</x:v>
      </x:c>
      <x:c r="G78" s="27" t="str">
        <x:v>善缘风险链图</x:v>
      </x:c>
      <x:c r="H78" s="27" t="str">
        <x:v>《寇员外：做好事为什么仍会遭难》</x:v>
      </x:c>
      <x:c r="I78" s="27" t="str">
        <x:v>待校核原文</x:v>
      </x:c>
      <x:c r="J78" s="27" t="str">
        <x:v>https://zh.wikisource.org/wiki/西游记/第九十七回</x:v>
      </x:c>
      <x:c r="K78" s="27" t="str">
        <x:v>可与祭赛国、乌鸡国冤案对读。</x:v>
      </x:c>
      <x:c r="L78" s="27"/>
      <x:c r="M78" s="27"/>
      <x:c r="N78" s="27"/>
    </x:row>
    <x:row r="79" ht="48" customHeight="1">
      <x:c r="A79" s="27" t="str">
        <x:v>Z078</x:v>
      </x:c>
      <x:c r="B79" s="27" t="str">
        <x:v>无字经：最接近成功时的成果质量风险</x:v>
      </x:c>
      <x:c r="C79" s="27" t="str">
        <x:v>第98回以无字经揭示终局交付风险：抵达灵山不等于完成取经，拿到经卷也不等于拿到真经。</x:v>
      </x:c>
      <x:c r="D79" s="27" t="str">
        <x:v>第98回</x:v>
      </x:c>
      <x:c r="E79" s="27" t="str">
        <x:v>唐僧、阿傩、迦叶、燃灯古佛、如来</x:v>
      </x:c>
      <x:c r="F79" s="27" t="str">
        <x:v>索人事、授无字经、燃灯提示、换取有字经</x:v>
      </x:c>
      <x:c r="G79" s="27" t="str">
        <x:v>交付验收流程图</x:v>
      </x:c>
      <x:c r="H79" s="27" t="str">
        <x:v>《无字经：为什么到灵山还会出问题》</x:v>
      </x:c>
      <x:c r="I79" s="27" t="str">
        <x:v>待校核原文</x:v>
      </x:c>
      <x:c r="J79" s="27" t="str">
        <x:v>https://zh.wikisource.org/wiki/西游记/第九十八回</x:v>
      </x:c>
      <x:c r="K79" s="27" t="str">
        <x:v>非常适合做AI项目管理类解读。</x:v>
      </x:c>
      <x:c r="L79" s="27"/>
      <x:c r="M79" s="27"/>
      <x:c r="N79" s="27"/>
    </x:row>
    <x:row r="80" ht="48" customHeight="1">
      <x:c r="A80" s="27" t="str">
        <x:v>Z079</x:v>
      </x:c>
      <x:c r="B80" s="27" t="str">
        <x:v>凌云渡脱壳：功成之前先脱凡胎</x:v>
      </x:c>
      <x:c r="C80" s="27" t="str">
        <x:v>凌云渡不是普通渡河，而是从凡身到真如的转换仪式，标志取经从行路修行进入成果确认阶段。</x:v>
      </x:c>
      <x:c r="D80" s="27" t="str">
        <x:v>第98回</x:v>
      </x:c>
      <x:c r="E80" s="27" t="str">
        <x:v>唐僧师徒、接引佛祖/灵山系统</x:v>
      </x:c>
      <x:c r="F80" s="27" t="str">
        <x:v>凌云渡、脱壳、见真如</x:v>
      </x:c>
      <x:c r="G80" s="27" t="str">
        <x:v>凡身—真如转换图</x:v>
      </x:c>
      <x:c r="H80" s="27" t="str">
        <x:v>《凌云渡：功成之前，先把旧我放下》</x:v>
      </x:c>
      <x:c r="I80" s="27" t="str">
        <x:v>待校核原文</x:v>
      </x:c>
      <x:c r="J80" s="27" t="str">
        <x:v>https://zh.wikisource.org/wiki/西游记/第九十八回</x:v>
      </x:c>
      <x:c r="K80" s="27" t="str">
        <x:v>可作心性修持专题。</x:v>
      </x:c>
      <x:c r="L80" s="27"/>
      <x:c r="M80" s="27"/>
      <x:c r="N80" s="27"/>
    </x:row>
    <x:row r="81" ht="48" customHeight="1">
      <x:c r="A81" s="27" t="str">
        <x:v>Z080</x:v>
      </x:c>
      <x:c r="B81" s="27" t="str">
        <x:v>九九八十一难：为什么最后还要补一难</x:v>
      </x:c>
      <x:c r="C81" s="27" t="str">
        <x:v>第99回说明圆满不是主观觉得完成，而是由难数、承诺和回程检验共同构成。</x:v>
      </x:c>
      <x:c r="D81" s="27" t="str">
        <x:v>第99回</x:v>
      </x:c>
      <x:c r="E81" s="27" t="str">
        <x:v>观音、唐僧师徒、老鼋、揭谛</x:v>
      </x:c>
      <x:c r="F81" s="27" t="str">
        <x:v>观音检点难数、老鼋落水、经卷受湿、晒经</x:v>
      </x:c>
      <x:c r="G81" s="27" t="str">
        <x:v>八十一难闭环图</x:v>
      </x:c>
      <x:c r="H81" s="27" t="str">
        <x:v>《最后一难：为什么快结束了还会翻船》</x:v>
      </x:c>
      <x:c r="I81" s="27" t="str">
        <x:v>待校核原文</x:v>
      </x:c>
      <x:c r="J81" s="27" t="str">
        <x:v>https://zh.wikisource.org/wiki/西游记/第九十九回</x:v>
      </x:c>
      <x:c r="K81" s="27" t="str">
        <x:v>全书结构总题。</x:v>
      </x:c>
      <x:c r="L81" s="27"/>
      <x:c r="M81" s="27"/>
      <x:c r="N81" s="27"/>
    </x:row>
    <x:row r="82" ht="48" customHeight="1">
      <x:c r="A82" s="27" t="str">
        <x:v>Z081</x:v>
      </x:c>
      <x:c r="B82" s="27" t="str">
        <x:v>五圣成真：取经团队的最终角色评价</x:v>
      </x:c>
      <x:c r="C82" s="27" t="str">
        <x:v>第100回将团队成员重新命名：唐僧、悟空、八戒、沙僧、白龙马各按其功行归位，团队项目转化为生命评价。</x:v>
      </x:c>
      <x:c r="D82" s="27" t="str">
        <x:v>第100回</x:v>
      </x:c>
      <x:c r="E82" s="27" t="str">
        <x:v>唐僧、悟空、八戒、沙僧、白龙马、如来</x:v>
      </x:c>
      <x:c r="F82" s="27" t="str">
        <x:v>五圣封号、紧箍自消、功德圆满</x:v>
      </x:c>
      <x:c r="G82" s="27" t="str">
        <x:v>角色成长终局图</x:v>
      </x:c>
      <x:c r="H82" s="27" t="str">
        <x:v>《五圣成真：一个团队如何各得其所》</x:v>
      </x:c>
      <x:c r="I82" s="27" t="str">
        <x:v>待校核原文</x:v>
      </x:c>
      <x:c r="J82" s="27" t="str">
        <x:v>https://zh.wikisource.org/wiki/西游记/第一百回</x:v>
      </x:c>
      <x:c r="K82" s="27" t="str">
        <x:v>适合做收官篇。</x:v>
      </x:c>
      <x:c r="L82" s="27"/>
      <x:c r="M82" s="27"/>
      <x:c r="N82" s="27"/>
    </x:row>
    <x:row r="83" ht="48" customHeight="1">
      <x:c r="A83" s="27" t="str">
        <x:v>Z082</x:v>
      </x:c>
      <x:c r="B83" s="27" t="str">
        <x:v>紧箍自消：外在约束如何变成内在自觉</x:v>
      </x:c>
      <x:c r="C83" s="27" t="str">
        <x:v>孙悟空成佛后紧箍自然消失，说明真正的纪律不是永远依靠外控，而是修成内在边界。</x:v>
      </x:c>
      <x:c r="D83" s="27" t="str">
        <x:v>第100回，联动第14回、第56—58回</x:v>
      </x:c>
      <x:c r="E83" s="27" t="str">
        <x:v>孙悟空、唐僧、如来</x:v>
      </x:c>
      <x:c r="F83" s="27" t="str">
        <x:v>戴紧箍、真假美猴王、封斗战胜佛、紧箍自消</x:v>
      </x:c>
      <x:c r="G83" s="27" t="str">
        <x:v>约束演化曲线图</x:v>
      </x:c>
      <x:c r="H83" s="27" t="str">
        <x:v>《紧箍为什么最后会自己消失》</x:v>
      </x:c>
      <x:c r="I83" s="27" t="str">
        <x:v>待校核原文</x:v>
      </x:c>
      <x:c r="J83" s="27" t="str">
        <x:v>https://zh.wikisource.org/wiki/西游记/第一百回</x:v>
      </x:c>
      <x:c r="K83" s="27" t="str">
        <x:v>可作为孙悟空心性成长主专题结尾。</x:v>
      </x:c>
      <x:c r="L83" s="27"/>
      <x:c r="M83" s="27"/>
      <x:c r="N83" s="27"/>
    </x:row>
    <x:row r="84" ht="48" customHeight="1">
      <x:c r="A84" s="27" t="str">
        <x:v>Z083</x:v>
      </x:c>
      <x:c r="B84" s="27" t="str">
        <x:v>从取经到回传：成果必须回到人间</x:v>
      </x:c>
      <x:c r="C84" s="27" t="str">
        <x:v>《西游记》没有停在灵山取经，而是写回东土、见太宗、传经典，说明修行成果必须回到现实世界发生作用。</x:v>
      </x:c>
      <x:c r="D84" s="27" t="str">
        <x:v>第98—100回</x:v>
      </x:c>
      <x:c r="E84" s="27" t="str">
        <x:v>唐僧师徒、如来、唐太宗</x:v>
      </x:c>
      <x:c r="F84" s="27" t="str">
        <x:v>求经、得经、补难、回长安、迎真经</x:v>
      </x:c>
      <x:c r="G84" s="27" t="str">
        <x:v>取经工程闭环图</x:v>
      </x:c>
      <x:c r="H84" s="27" t="str">
        <x:v>《取经不是拿到经，而是把经带回人间》</x:v>
      </x:c>
      <x:c r="I84" s="27" t="str">
        <x:v>待校核原文</x:v>
      </x:c>
      <x:c r="J84" s="27" t="str">
        <x:v>https://zh.wikisource.org/wiki/西游记/第一百回</x:v>
      </x:c>
      <x:c r="K84" s="27" t="str">
        <x:v>全书总论核心判断。</x:v>
      </x:c>
      <x:c r="L84" s="27"/>
      <x:c r="M84" s="27"/>
      <x:c r="N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4" hidden="0" customWidth="1"/>
    <x:col min="4" max="4" width="24" hidden="0" customWidth="1"/>
    <x:col min="5" max="5" width="22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2" hidden="0" customWidth="1"/>
    <x:col min="12" max="12" width="32" hidden="0" customWidth="1"/>
    <x:col min="13" max="13" width="28" hidden="0" customWidth="1"/>
    <x:col min="14" max="14" width="24" hidden="0" customWidth="1"/>
  </x:cols>
  <x:sheetData>
    <x:row r="1" ht="15" hidden="0" customHeight="1">
      <x:c r="A1" s="19" t="str">
        <x:v>编号</x:v>
      </x:c>
      <x:c r="B1" s="19" t="str">
        <x:v>法宝/资源名称</x:v>
      </x:c>
      <x:c r="C1" s="19" t="str">
        <x:v>出现回次</x:v>
      </x:c>
      <x:c r="D1" s="19" t="str">
        <x:v>所属系统/主人</x:v>
      </x:c>
      <x:c r="E1" s="19" t="str">
        <x:v>使用者</x:v>
      </x:c>
      <x:c r="F1" s="19" t="str">
        <x:v>功能/规则</x:v>
      </x:c>
      <x:c r="G1" s="19" t="str">
        <x:v>风险类型</x:v>
      </x:c>
      <x:c r="H1" s="19" t="str">
        <x:v>被谁反制/收回</x:v>
      </x:c>
      <x:c r="I1" s="19" t="str">
        <x:v>处理方式</x:v>
      </x:c>
      <x:c r="J1" s="19" t="str">
        <x:v>研究意义</x:v>
      </x:c>
      <x:c r="K1" s="19" t="str">
        <x:v>证据状态</x:v>
      </x:c>
      <x:c r="L1" s="19" t="str">
        <x:v>来源URL</x:v>
      </x:c>
      <x:c r="M1" s="19" t="str">
        <x:v>备注</x:v>
      </x:c>
      <x:c r="N1" s="19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52.79999923706055" hidden="0" customHeight="1">
      <x:c r="A2" s="24" t="str">
        <x:v>B001</x:v>
      </x:c>
      <x:c r="B2" s="24" t="str">
        <x:v>紫金红葫芦</x:v>
      </x:c>
      <x:c r="C2" s="24" t="str">
        <x:v>第33—35回</x:v>
      </x:c>
      <x:c r="D2" s="24" t="str">
        <x:v>太上老君/金角银角</x:v>
      </x:c>
      <x:c r="E2" s="24" t="str">
        <x:v>金角、银角、后被悟空骗取</x:v>
      </x:c>
      <x:c r="F2" s="24" t="str">
        <x:v>呼名应声即可收入，体现名称与规则陷阱。</x:v>
      </x:c>
      <x:c r="G2" s="24" t="str">
        <x:v>工具权力/规则陷阱/身份响应</x:v>
      </x:c>
      <x:c r="H2" s="24" t="str">
        <x:v>孙悟空、太上老君</x:v>
      </x:c>
      <x:c r="I2" s="24" t="str">
        <x:v>悟空骗宝，后由老君收回</x:v>
      </x:c>
      <x:c r="J2" s="24" t="str">
        <x:v>法宝改变战斗难度，规则本身成为风险。</x:v>
      </x:c>
      <x:c r="K2" s="24" t="str">
        <x:v>待校核原文</x:v>
      </x:c>
      <x:c r="L2" s="24" t="str">
        <x:v>https://zh.wikisource.org/wiki/西游记/%E7%AC%AC%E4%B8%89%E5%8D%81%E5%9B%9B%E5%9B%9E</x:v>
      </x:c>
      <x:c r="M2" s="24" t="str">
        <x:v>与羊脂玉净瓶成对研究。</x:v>
      </x:c>
      <x:c r="N2" s="24"/>
    </x:row>
    <x:row r="3" ht="52.79999923706055" hidden="0" customHeight="1">
      <x:c r="A3" s="24" t="str">
        <x:v>B002</x:v>
      </x:c>
      <x:c r="B3" s="24" t="str">
        <x:v>羊脂玉净瓶</x:v>
      </x:c>
      <x:c r="C3" s="24" t="str">
        <x:v>第33—35回</x:v>
      </x:c>
      <x:c r="D3" s="24" t="str">
        <x:v>太上老君/金角银角</x:v>
      </x:c>
      <x:c r="E3" s="24" t="str">
        <x:v>金角、银角、后被悟空骗取</x:v>
      </x:c>
      <x:c r="F3" s="24" t="str">
        <x:v>与呼名应声等规则相关，用于拘摄对手。</x:v>
      </x:c>
      <x:c r="G3" s="24" t="str">
        <x:v>工具权力/规则陷阱</x:v>
      </x:c>
      <x:c r="H3" s="24" t="str">
        <x:v>孙悟空、太上老君</x:v>
      </x:c>
      <x:c r="I3" s="24" t="str">
        <x:v>悟空反制，老君收回</x:v>
      </x:c>
      <x:c r="J3" s="24" t="str">
        <x:v>体现系统资源外流后的治理风险。</x:v>
      </x:c>
      <x:c r="K3" s="24" t="str">
        <x:v>待校核原文</x:v>
      </x:c>
      <x:c r="L3" s="24" t="str">
        <x:v>https://zh.wikisource.org/wiki/西游记/%E7%AC%AC%E4%B8%89%E5%8D%81%E5%9B%9B%E5%9B%9E</x:v>
      </x:c>
      <x:c r="M3" s="24" t="str">
        <x:v>需校核具体使用细节。</x:v>
      </x:c>
      <x:c r="N3" s="24"/>
    </x:row>
    <x:row r="4" ht="52.79999923706055" hidden="0" customHeight="1">
      <x:c r="A4" s="24" t="str">
        <x:v>B003</x:v>
      </x:c>
      <x:c r="B4" s="24" t="str">
        <x:v>幌金绳</x:v>
      </x:c>
      <x:c r="C4" s="24" t="str">
        <x:v>第34—35回</x:v>
      </x:c>
      <x:c r="D4" s="24" t="str">
        <x:v>太上老君/金角银角</x:v>
      </x:c>
      <x:c r="E4" s="24" t="str">
        <x:v>金角银角一方</x:v>
      </x:c>
      <x:c r="F4" s="24" t="str">
        <x:v>用于捆缚对手。</x:v>
      </x:c>
      <x:c r="G4" s="24" t="str">
        <x:v>控制工具/身体约束</x:v>
      </x:c>
      <x:c r="H4" s="24" t="str">
        <x:v>孙悟空、太上老君</x:v>
      </x:c>
      <x:c r="I4" s="24" t="str">
        <x:v>被反制并收回</x:v>
      </x:c>
      <x:c r="J4" s="24" t="str">
        <x:v>从武力对抗转向控制权争夺。</x:v>
      </x:c>
      <x:c r="K4" s="24" t="str">
        <x:v>待校核原文</x:v>
      </x:c>
      <x:c r="L4" s="24" t="str">
        <x:v>https://zh.wikisource.org/wiki/西游记/%E7%AC%AC%E4%B8%89%E5%8D%81%E5%9B%9B%E5%9B%9E</x:v>
      </x:c>
      <x:c r="M4" s="24" t="str">
        <x:v>与紧箍咒可作对照。</x:v>
      </x:c>
      <x:c r="N4" s="24"/>
    </x:row>
    <x:row r="5" ht="52.79999923706055" hidden="0" customHeight="1">
      <x:c r="A5" s="24" t="str">
        <x:v>B004</x:v>
      </x:c>
      <x:c r="B5" s="24" t="str">
        <x:v>七星剑</x:v>
      </x:c>
      <x:c r="C5" s="24" t="str">
        <x:v>第32—35回</x:v>
      </x:c>
      <x:c r="D5" s="24" t="str">
        <x:v>太上老君/金角银角</x:v>
      </x:c>
      <x:c r="E5" s="24" t="str">
        <x:v>金角、银角</x:v>
      </x:c>
      <x:c r="F5" s="24" t="str">
        <x:v>兵器型法宝。</x:v>
      </x:c>
      <x:c r="G5" s="24" t="str">
        <x:v>武力资源外溢</x:v>
      </x:c>
      <x:c r="H5" s="24" t="str">
        <x:v>太上老君</x:v>
      </x:c>
      <x:c r="I5" s="24" t="str">
        <x:v>后台收回</x:v>
      </x:c>
      <x:c r="J5" s="24" t="str">
        <x:v>后台童子携带资源下界，放大基层灾害。</x:v>
      </x:c>
      <x:c r="K5" s="24" t="str">
        <x:v>待校核原文</x:v>
      </x:c>
      <x:c r="L5" s="24" t="str">
        <x:v>https://zh.wikisource.org/wiki/西游记/%E7%AC%AC%E4%B8%89%E5%8D%81%E4%BA%94%E5%9B%9E</x:v>
      </x:c>
      <x:c r="M5" s="24" t="str">
        <x:v>需校核是否作为重点法宝分析。</x:v>
      </x:c>
      <x:c r="N5" s="24"/>
    </x:row>
    <x:row r="6" ht="52.79999923706055" hidden="0" customHeight="1">
      <x:c r="A6" s="24" t="str">
        <x:v>B005</x:v>
      </x:c>
      <x:c r="B6" s="24" t="str">
        <x:v>芭蕉扇（平顶山段）</x:v>
      </x:c>
      <x:c r="C6" s="24" t="str">
        <x:v>第32—35回</x:v>
      </x:c>
      <x:c r="D6" s="24" t="str">
        <x:v>太上老君/金角银角</x:v>
      </x:c>
      <x:c r="E6" s="24" t="str">
        <x:v>金角、银角</x:v>
      </x:c>
      <x:c r="F6" s="24" t="str">
        <x:v>平顶山段随童子下界的宝物之一。</x:v>
      </x:c>
      <x:c r="G6" s="24" t="str">
        <x:v>系统资源外溢</x:v>
      </x:c>
      <x:c r="H6" s="24" t="str">
        <x:v>太上老君</x:v>
      </x:c>
      <x:c r="I6" s="24" t="str">
        <x:v>后台收回</x:v>
      </x:c>
      <x:c r="J6" s="24" t="str">
        <x:v>与后续火焰山芭蕉扇形成同名/异主问题，需谨慎考据。</x:v>
      </x:c>
      <x:c r="K6" s="24" t="str">
        <x:v>待校核原文</x:v>
      </x:c>
      <x:c r="L6" s="24" t="str">
        <x:v>https://zh.wikisource.org/wiki/西游记/%E7%AC%AC%E4%B8%89%E5%8D%81%E4%BA%94%E5%9B%9E</x:v>
      </x:c>
      <x:c r="M6" s="24" t="str">
        <x:v>需与后续铁扇公主芭蕉扇区分。</x:v>
      </x:c>
      <x:c r="N6" s="24"/>
    </x:row>
    <x:row r="7" ht="52.79999923706055" hidden="0" customHeight="1">
      <x:c r="A7" s="24" t="str">
        <x:v>B006</x:v>
      </x:c>
      <x:c r="B7" s="24" t="str">
        <x:v>九转还魂/金丹</x:v>
      </x:c>
      <x:c r="C7" s="24" t="str">
        <x:v>第39回</x:v>
      </x:c>
      <x:c r="D7" s="24" t="str">
        <x:v>太上老君</x:v>
      </x:c>
      <x:c r="E7" s="24" t="str">
        <x:v>孙悟空求取，用于乌鸡国真王</x:v>
      </x:c>
      <x:c r="F7" s="24" t="str">
        <x:v>使乌鸡国真王还魂复生。</x:v>
      </x:c>
      <x:c r="G7" s="24" t="str">
        <x:v>纠偏资源/高层救济</x:v>
      </x:c>
      <x:c r="H7" s="24" t="str">
        <x:v>孙悟空、太上老君</x:v>
      </x:c>
      <x:c r="I7" s="24" t="str">
        <x:v>用于恢复合法主体</x:v>
      </x:c>
      <x:c r="J7" s="24" t="str">
        <x:v>法宝/丹药不只制造风险，也可用于制度修复。</x:v>
      </x:c>
      <x:c r="K7" s="24" t="str">
        <x:v>待校核原文</x:v>
      </x:c>
      <x:c r="L7" s="24" t="str">
        <x:v>https://zh.wikisource.org/wiki/西游记/%E7%AC%AC%E4%B8%89%E5%8D%81%E4%B9%9D%E5%9B%9E</x:v>
      </x:c>
      <x:c r="M7" s="24" t="str">
        <x:v>乌鸡国段的关键纠偏资源。</x:v>
      </x:c>
      <x:c r="N7" s="24"/>
    </x:row>
    <x:row r="8" ht="26.399999618530273" hidden="0" customHeight="1">
      <x:c r="A8" s="27" t="str">
        <x:v>B007</x:v>
      </x:c>
      <x:c r="B8" s="27" t="str">
        <x:v>三昧真火</x:v>
      </x:c>
      <x:c r="C8" s="27" t="str">
        <x:v>第40—42回</x:v>
      </x:c>
      <x:c r="D8" s="27" t="str">
        <x:v>红孩儿/火云洞</x:v>
      </x:c>
      <x:c r="E8" s="27" t="str">
        <x:v>红孩儿</x:v>
      </x:c>
      <x:c r="F8" s="27" t="str">
        <x:v>火攻能力，能使悟空受挫，常规武力难以破解。</x:v>
      </x:c>
      <x:c r="G8" s="27" t="str">
        <x:v>能力失控/火性伤害</x:v>
      </x:c>
      <x:c r="H8" s="27" t="str">
        <x:v>观音</x:v>
      </x:c>
      <x:c r="I8" s="27" t="str">
        <x:v>由观音以更高层级法力收束</x:v>
      </x:c>
      <x:c r="J8" s="27" t="str">
        <x:v>表明专业强者也有能力边界。</x:v>
      </x:c>
      <x:c r="K8" s="27" t="str">
        <x:v>待校核原文</x:v>
      </x:c>
      <x:c r="L8" s="27" t="str">
        <x:v>https://zh.wikisource.org/wiki/西游记/第四十一回</x:v>
      </x:c>
      <x:c r="M8" s="27" t="str">
        <x:v>可与芭蕉扇、火焰山专题联动。</x:v>
      </x:c>
      <x:c r="N8" s="24"/>
    </x:row>
    <x:row r="9" ht="26.399999618530273" hidden="0" customHeight="1">
      <x:c r="A9" s="27" t="str">
        <x:v>B008</x:v>
      </x:c>
      <x:c r="B9" s="27" t="str">
        <x:v>假观音变化</x:v>
      </x:c>
      <x:c r="C9" s="27" t="str">
        <x:v>第41回</x:v>
      </x:c>
      <x:c r="D9" s="27" t="str">
        <x:v>红孩儿变化术</x:v>
      </x:c>
      <x:c r="E9" s="27" t="str">
        <x:v>红孩儿</x:v>
      </x:c>
      <x:c r="F9" s="27" t="str">
        <x:v>伪装为观音，借权威形象诱骗八戒。</x:v>
      </x:c>
      <x:c r="G9" s="27" t="str">
        <x:v>假权威/信息欺骗</x:v>
      </x:c>
      <x:c r="H9" s="27" t="str">
        <x:v>真观音/悟空后续识破</x:v>
      </x:c>
      <x:c r="I9" s="27" t="str">
        <x:v>红孩儿被观音收伏</x:v>
      </x:c>
      <x:c r="J9" s="27" t="str">
        <x:v>比单纯武力更隐蔽的组织风险。</x:v>
      </x:c>
      <x:c r="K9" s="27" t="str">
        <x:v>待校核原文</x:v>
      </x:c>
      <x:c r="L9" s="27" t="str">
        <x:v>https://zh.wikisource.org/wiki/西游记/第四十一回</x:v>
      </x:c>
      <x:c r="M9" s="27" t="str">
        <x:v>应纳入能力/规则而非法宝。</x:v>
      </x:c>
      <x:c r="N9" s="24"/>
    </x:row>
    <x:row r="10" ht="26.399999618530273" hidden="0" customHeight="1">
      <x:c r="A10" s="27" t="str">
        <x:v>B009</x:v>
      </x:c>
      <x:c r="B10" s="27" t="str">
        <x:v>观音净瓶/甘露系统</x:v>
      </x:c>
      <x:c r="C10" s="27" t="str">
        <x:v>第42回</x:v>
      </x:c>
      <x:c r="D10" s="27" t="str">
        <x:v>观音/南海系统</x:v>
      </x:c>
      <x:c r="E10" s="27" t="str">
        <x:v>观音</x:v>
      </x:c>
      <x:c r="F10" s="27" t="str">
        <x:v>以慈悲与法力收束火性，降伏红孩儿。</x:v>
      </x:c>
      <x:c r="G10" s="27" t="str">
        <x:v>外部救援/高阶治理资源</x:v>
      </x:c>
      <x:c r="H10" s="27" t="str">
        <x:v>无</x:v>
      </x:c>
      <x:c r="I10" s="27" t="str">
        <x:v>降伏并收编红孩儿</x:v>
      </x:c>
      <x:c r="J10" s="27" t="str">
        <x:v>外部权威资源用于风险收束与转化。</x:v>
      </x:c>
      <x:c r="K10" s="27" t="str">
        <x:v>待校核原文</x:v>
      </x:c>
      <x:c r="L10" s="27" t="str">
        <x:v>https://zh.wikisource.org/wiki/西游记/第四十二回</x:v>
      </x:c>
      <x:c r="M10" s="27" t="str">
        <x:v>具体器物与情节需按原文校核。</x:v>
      </x:c>
      <x:c r="N10" s="24"/>
    </x:row>
    <x:row r="11" ht="26.399999618530273" hidden="0" customHeight="1">
      <x:c r="A11" s="27" t="str">
        <x:v>B010</x:v>
      </x:c>
      <x:c r="B11" s="27" t="str">
        <x:v>车迟国斗法规则</x:v>
      </x:c>
      <x:c r="C11" s="27" t="str">
        <x:v>第45—46回</x:v>
      </x:c>
      <x:c r="D11" s="27" t="str">
        <x:v>车迟国王权公开场域</x:v>
      </x:c>
      <x:c r="E11" s="27" t="str">
        <x:v>三大仙、孙悟空等</x:v>
      </x:c>
      <x:c r="F11" s="27" t="str">
        <x:v>求雨、坐禅、砍头、剖腹、下油锅等公开验证项目。</x:v>
      </x:c>
      <x:c r="G11" s="27" t="str">
        <x:v>规则竞争/公开验证</x:v>
      </x:c>
      <x:c r="H11" s="27" t="str">
        <x:v>孙悟空</x:v>
      </x:c>
      <x:c r="I11" s="27" t="str">
        <x:v>让三大仙现形</x:v>
      </x:c>
      <x:c r="J11" s="27" t="str">
        <x:v>规则本身成为真假权威的检验工具。</x:v>
      </x:c>
      <x:c r="K11" s="27" t="str">
        <x:v>待校核原文</x:v>
      </x:c>
      <x:c r="L11" s="27" t="str">
        <x:v>https://zh.wikisource.org/wiki/西游记/第四十六回</x:v>
      </x:c>
      <x:c r="M11" s="27" t="str">
        <x:v>作为‘制度化斗法’条目。</x:v>
      </x:c>
      <x:c r="N11" s="24"/>
    </x:row>
    <x:row r="12" ht="26.399999618530273" hidden="0" customHeight="1">
      <x:c r="A12" s="24" t="str">
        <x:v>B011</x:v>
      </x:c>
      <x:c r="B12" s="24" t="str">
        <x:v>鱼篮</x:v>
      </x:c>
      <x:c r="C12" s="24" t="str">
        <x:v>第49回</x:v>
      </x:c>
      <x:c r="D12" s="24" t="str">
        <x:v>观音系统</x:v>
      </x:c>
      <x:c r="E12" s="24" t="str">
        <x:v>观音</x:v>
      </x:c>
      <x:c r="F12" s="24" t="str">
        <x:v>用于收伏灵感大王（金鱼），以最小化方式完成后台收束。</x:v>
      </x:c>
      <x:c r="G12" s="24" t="str">
        <x:v>收束工具/后台纠偏</x:v>
      </x:c>
      <x:c r="H12" s="24" t="str">
        <x:v>观音</x:v>
      </x:c>
      <x:c r="I12" s="24" t="str">
        <x:v>鱼篮收金鱼</x:v>
      </x:c>
      <x:c r="J12" s="24" t="str">
        <x:v>不是武力强攻，而是归属系统内的精准回收。</x:v>
      </x:c>
      <x:c r="K12" s="24" t="str">
        <x:v>待校核原文</x:v>
      </x:c>
      <x:c r="L12" s="24" t="str">
        <x:v>https://zh.wikisource.org/wiki/西游记/第四十九回</x:v>
      </x:c>
      <x:c r="M12" s="24" t="str">
        <x:v>与净瓶、甘露等观音系统资源可合并研究。</x:v>
      </x:c>
      <x:c r="N12" s="24"/>
    </x:row>
    <x:row r="13" ht="26.399999618530273" hidden="0" customHeight="1">
      <x:c r="A13" s="24" t="str">
        <x:v>B012</x:v>
      </x:c>
      <x:c r="B13" s="24" t="str">
        <x:v>冰封通天河/寒风大雪</x:v>
      </x:c>
      <x:c r="C13" s="24" t="str">
        <x:v>第48回</x:v>
      </x:c>
      <x:c r="D13" s="24" t="str">
        <x:v>灵感大王妖力</x:v>
      </x:c>
      <x:c r="E13" s="24" t="str">
        <x:v>灵感大王</x:v>
      </x:c>
      <x:c r="F13" s="24" t="str">
        <x:v>制造可通行假象，使唐僧踏冰被摄入水府。</x:v>
      </x:c>
      <x:c r="G13" s="24" t="str">
        <x:v>环境陷阱/路径误导</x:v>
      </x:c>
      <x:c r="H13" s="24" t="str">
        <x:v>悟空求援观音后收束</x:v>
      </x:c>
      <x:c r="I13" s="24" t="str">
        <x:v>源头妖怪被收回，环境风险解除</x:v>
      </x:c>
      <x:c r="J13" s="24" t="str">
        <x:v>风险不只在敌人，也在被改造的路径。</x:v>
      </x:c>
      <x:c r="K13" s="24" t="str">
        <x:v>待校核原文</x:v>
      </x:c>
      <x:c r="L13" s="24" t="str">
        <x:v>https://zh.wikisource.org/wiki/西游记/第四十八回</x:v>
      </x:c>
      <x:c r="M13" s="24" t="str">
        <x:v>可归为“能力/场景资源”。</x:v>
      </x:c>
      <x:c r="N13" s="24"/>
    </x:row>
    <x:row r="14" ht="26.399999618530273" hidden="0" customHeight="1">
      <x:c r="A14" s="24" t="str">
        <x:v>B013</x:v>
      </x:c>
      <x:c r="B14" s="24" t="str">
        <x:v>金刚琢</x:v>
      </x:c>
      <x:c r="C14" s="24" t="str">
        <x:v>第50—52回</x:v>
      </x:c>
      <x:c r="D14" s="24" t="str">
        <x:v>太上老君系统</x:v>
      </x:c>
      <x:c r="E14" s="24" t="str">
        <x:v>独角兕大王/青牛</x:v>
      </x:c>
      <x:c r="F14" s="24" t="str">
        <x:v>可收摄兵器与诸般法宝，使常规救援失效。</x:v>
      </x:c>
      <x:c r="G14" s="24" t="str">
        <x:v>工具垄断/规则压制/系统资源外溢</x:v>
      </x:c>
      <x:c r="H14" s="24" t="str">
        <x:v>太上老君</x:v>
      </x:c>
      <x:c r="I14" s="24" t="str">
        <x:v>老君下界收回</x:v>
      </x:c>
      <x:c r="J14" s="24" t="str">
        <x:v>金兜洞的核心不是妖怪强，而是工具规则强。</x:v>
      </x:c>
      <x:c r="K14" s="24" t="str">
        <x:v>待校核原文</x:v>
      </x:c>
      <x:c r="L14" s="24" t="str">
        <x:v>https://zh.wikisource.org/wiki/西游记/第五十二回</x:v>
      </x:c>
      <x:c r="M14" s="24" t="str">
        <x:v>法宝表核心条目。</x:v>
      </x:c>
      <x:c r="N14" s="24"/>
    </x:row>
    <x:row r="15" ht="26.399999618530273" hidden="0" customHeight="1">
      <x:c r="A15" s="24" t="str">
        <x:v>B014</x:v>
      </x:c>
      <x:c r="B15" s="24" t="str">
        <x:v>子母河水</x:v>
      </x:c>
      <x:c r="C15" s="24" t="str">
        <x:v>第53回</x:v>
      </x:c>
      <x:c r="D15" s="24" t="str">
        <x:v>女儿国/地方水域系统</x:v>
      </x:c>
      <x:c r="E15" s="24" t="str">
        <x:v>误饮者</x:v>
      </x:c>
      <x:c r="F15" s="24" t="str">
        <x:v>饮后成孕，制造身体困局。</x:v>
      </x:c>
      <x:c r="G15" s="24" t="str">
        <x:v>身体风险/环境风险</x:v>
      </x:c>
      <x:c r="H15" s="24" t="str">
        <x:v>落胎泉水</x:v>
      </x:c>
      <x:c r="I15" s="24" t="str">
        <x:v>悟空求解</x:v>
      </x:c>
      <x:c r="J15" s="24" t="str">
        <x:v>非武力性环境风险改变团队状态。</x:v>
      </x:c>
      <x:c r="K15" s="24" t="str">
        <x:v>待校核原文</x:v>
      </x:c>
      <x:c r="L15" s="24" t="str">
        <x:v>https://zh.wikisource.org/wiki/西游记/第五十三回</x:v>
      </x:c>
      <x:c r="M15" s="24" t="str">
        <x:v>建议归入“特殊资源/环境机制”。</x:v>
      </x:c>
      <x:c r="N15" s="24"/>
    </x:row>
    <x:row r="16" ht="26.399999618530273" hidden="0" customHeight="1">
      <x:c r="A16" s="24" t="str">
        <x:v>B015</x:v>
      </x:c>
      <x:c r="B16" s="24" t="str">
        <x:v>落胎泉水</x:v>
      </x:c>
      <x:c r="C16" s="24" t="str">
        <x:v>第53回</x:v>
      </x:c>
      <x:c r="D16" s="24" t="str">
        <x:v>解阳山落胎泉/如意真仙把守</x:v>
      </x:c>
      <x:c r="E16" s="24" t="str">
        <x:v>悟空求取，唐僧八戒受用</x:v>
      </x:c>
      <x:c r="F16" s="24" t="str">
        <x:v>可解子母河怀胎之厄。</x:v>
      </x:c>
      <x:c r="G16" s="24" t="str">
        <x:v>救援资源/关键资源把守</x:v>
      </x:c>
      <x:c r="H16" s="24" t="str">
        <x:v>悟空取得</x:v>
      </x:c>
      <x:c r="I16" s="24" t="str">
        <x:v>资源获取后解厄</x:v>
      </x:c>
      <x:c r="J16" s="24" t="str">
        <x:v>救援资源被地方势力控制，形成次生冲突。</x:v>
      </x:c>
      <x:c r="K16" s="24" t="str">
        <x:v>待校核原文</x:v>
      </x:c>
      <x:c r="L16" s="24" t="str">
        <x:v>https://zh.wikisource.org/wiki/西游记/第五十三回</x:v>
      </x:c>
      <x:c r="M16" s="24" t="str">
        <x:v>与子母河水成对。</x:v>
      </x:c>
      <x:c r="N16" s="24"/>
    </x:row>
    <x:row r="17" ht="26.399999618530273" hidden="0" customHeight="1">
      <x:c r="A17" s="24" t="str">
        <x:v>B016</x:v>
      </x:c>
      <x:c r="B17" s="24" t="str">
        <x:v>倒马毒桩/蝎子毒钩</x:v>
      </x:c>
      <x:c r="C17" s="24" t="str">
        <x:v>第55回</x:v>
      </x:c>
      <x:c r="D17" s="24" t="str">
        <x:v>蝎子精</x:v>
      </x:c>
      <x:c r="E17" s="24" t="str">
        <x:v>蝎子精</x:v>
      </x:c>
      <x:c r="F17" s="24" t="str">
        <x:v>毒伤悟空、八戒，常规武力难以克制。</x:v>
      </x:c>
      <x:c r="G17" s="24" t="str">
        <x:v>毒性异能/专业克制</x:v>
      </x:c>
      <x:c r="H17" s="24" t="str">
        <x:v>昴日星官</x:v>
      </x:c>
      <x:c r="I17" s="24" t="str">
        <x:v>天敌机制降伏</x:v>
      </x:c>
      <x:c r="J17" s="24" t="str">
        <x:v>说明能力克制比能力大小更关键。</x:v>
      </x:c>
      <x:c r="K17" s="24" t="str">
        <x:v>待校核原文</x:v>
      </x:c>
      <x:c r="L17" s="24" t="str">
        <x:v>https://zh.wikisource.org/wiki/西游记/第五十五回</x:v>
      </x:c>
      <x:c r="M17" s="24" t="str">
        <x:v>需校核原文名称。</x:v>
      </x:c>
      <x:c r="N17" s="24"/>
    </x:row>
    <x:row r="18" ht="26.399999618530273" hidden="0" customHeight="1">
      <x:c r="A18" s="24" t="str">
        <x:v>B017</x:v>
      </x:c>
      <x:c r="B18" s="24" t="str">
        <x:v>六耳猕猴之“同形复制”</x:v>
      </x:c>
      <x:c r="C18" s="24" t="str">
        <x:v>第57—58回</x:v>
      </x:c>
      <x:c r="D18" s="24" t="str">
        <x:v>六耳猕猴/二心系统</x:v>
      </x:c>
      <x:c r="E18" s="24" t="str">
        <x:v>六耳猕猴</x:v>
      </x:c>
      <x:c r="F18" s="24" t="str">
        <x:v>形貌、声音、兵器、能力近似悟空，造成身份判别失效。</x:v>
      </x:c>
      <x:c r="G18" s="24" t="str">
        <x:v>身份风险/复制风险</x:v>
      </x:c>
      <x:c r="H18" s="24" t="str">
        <x:v>如来</x:v>
      </x:c>
      <x:c r="I18" s="24" t="str">
        <x:v>如来识破本相</x:v>
      </x:c>
      <x:c r="J18" s="24" t="str">
        <x:v>比法宝更危险的是身份与能力的高度仿冒。</x:v>
      </x:c>
      <x:c r="K18" s="24" t="str">
        <x:v>待校核原文</x:v>
      </x:c>
      <x:c r="L18" s="24" t="str">
        <x:v>https://zh.wikisource.org/wiki/西游记/第五十八回</x:v>
      </x:c>
      <x:c r="M18" s="24" t="str">
        <x:v>可作为“非物质法宝/能力机制”。</x:v>
      </x:c>
      <x:c r="N18" s="24"/>
    </x:row>
    <x:row r="19" ht="26.399999618530273" hidden="0" customHeight="1">
      <x:c r="A19" s="24" t="str">
        <x:v>B018</x:v>
      </x:c>
      <x:c r="B19" s="24" t="str">
        <x:v>谛听辨识能力</x:v>
      </x:c>
      <x:c r="C19" s="24" t="str">
        <x:v>第58回</x:v>
      </x:c>
      <x:c r="D19" s="24" t="str">
        <x:v>地藏王系统</x:v>
      </x:c>
      <x:c r="E19" s="24" t="str">
        <x:v>谛听</x:v>
      </x:c>
      <x:c r="F19" s="24" t="str">
        <x:v>能辨万物真假，但不直接承担裁决。</x:v>
      </x:c>
      <x:c r="G19" s="24" t="str">
        <x:v>识别资源/权限边界</x:v>
      </x:c>
      <x:c r="H19" s="24" t="str">
        <x:v>如来终裁</x:v>
      </x:c>
      <x:c r="I19" s="24" t="str">
        <x:v>识别后上送最高权威</x:v>
      </x:c>
      <x:c r="J19" s="24" t="str">
        <x:v>识别与裁决分离，是组织治理关键。</x:v>
      </x:c>
      <x:c r="K19" s="24" t="str">
        <x:v>待校核原文</x:v>
      </x:c>
      <x:c r="L19" s="24" t="str">
        <x:v>https://zh.wikisource.org/wiki/西游记/第五十八回</x:v>
      </x:c>
      <x:c r="M19" s="24" t="str">
        <x:v>适合放入能力资源表。</x:v>
      </x:c>
      <x:c r="N19" s="24"/>
    </x:row>
    <x:row r="20" ht="39.599998474121094" hidden="0" customHeight="1">
      <x:c r="A20" s="27" t="str">
        <x:v>B020</x:v>
      </x:c>
      <x:c r="B20" s="27" t="str">
        <x:v>芭蕉扇（火焰山段）</x:v>
      </x:c>
      <x:c r="C20" s="27" t="str">
        <x:v>第59—61回</x:v>
      </x:c>
      <x:c r="D20" s="27" t="str">
        <x:v>铁扇公主/翠云山芭蕉洞</x:v>
      </x:c>
      <x:c r="E20" s="27" t="str">
        <x:v>铁扇公主、孙悟空</x:v>
      </x:c>
      <x:c r="F20" s="27" t="str">
        <x:v>可扇灭火焰山，是通行取经路线的关键资源；存在真假扇、真扇验证问题。</x:v>
      </x:c>
      <x:c r="G20" s="27" t="str">
        <x:v>关键资源/环境治理/真假验证</x:v>
      </x:c>
      <x:c r="H20" s="27" t="str">
        <x:v>孙悟空取得后用于灭火，后归还</x:v>
      </x:c>
      <x:c r="I20" s="27" t="str">
        <x:v>三调取得真扇并灭火</x:v>
      </x:c>
      <x:c r="J20" s="27" t="str">
        <x:v>法宝不只用于战斗，也用于环境治理和路线恢复。</x:v>
      </x:c>
      <x:c r="K20" s="27" t="str">
        <x:v>待校核原文</x:v>
      </x:c>
      <x:c r="L20" s="27" t="str">
        <x:v>https://zh.wikisource.org/wiki/西游记/第六十一回</x:v>
      </x:c>
      <x:c r="M20" s="27" t="str">
        <x:v>必须与第35回平顶山段芭蕉扇区分。</x:v>
      </x:c>
      <x:c r="N20" s="24"/>
    </x:row>
    <x:row r="21" ht="26.399999618530273" hidden="0" customHeight="1">
      <x:c r="A21" s="27" t="str">
        <x:v>B021</x:v>
      </x:c>
      <x:c r="B21" s="27" t="str">
        <x:v>假芭蕉扇/假资源</x:v>
      </x:c>
      <x:c r="C21" s="27" t="str">
        <x:v>第59回</x:v>
      </x:c>
      <x:c r="D21" s="27" t="str">
        <x:v>铁扇公主一方</x:v>
      </x:c>
      <x:c r="E21" s="27" t="str">
        <x:v>铁扇公主/孙悟空受其影响</x:v>
      </x:c>
      <x:c r="F21" s="27" t="str">
        <x:v>表面为扇，实际不能解决火焰山问题，甚至可能造成反效果。</x:v>
      </x:c>
      <x:c r="G21" s="27" t="str">
        <x:v>假资源/验证失败/信息不对称</x:v>
      </x:c>
      <x:c r="H21" s="27" t="str">
        <x:v>悟空后续识别并继续二调三调</x:v>
      </x:c>
      <x:c r="I21" s="27" t="str">
        <x:v>通过实践验证真假</x:v>
      </x:c>
      <x:c r="J21" s="27" t="str">
        <x:v>关键资源必须经过功能验证，名义资源不等于有效资源。</x:v>
      </x:c>
      <x:c r="K21" s="27" t="str">
        <x:v>待校核原文</x:v>
      </x:c>
      <x:c r="L21" s="27" t="str">
        <x:v>https://zh.wikisource.org/wiki/西游记/第五十九回</x:v>
      </x:c>
      <x:c r="M21" s="27" t="str">
        <x:v>具体情节需校核。</x:v>
      </x:c>
      <x:c r="N21" s="24"/>
    </x:row>
    <x:row r="22" ht="26.399999618530273" hidden="0" customHeight="1">
      <x:c r="A22" s="27" t="str">
        <x:v>B022</x:v>
      </x:c>
      <x:c r="B22" s="27" t="str">
        <x:v>牛魔王变化/身份伪装</x:v>
      </x:c>
      <x:c r="C22" s="27" t="str">
        <x:v>第60—61回</x:v>
      </x:c>
      <x:c r="D22" s="27" t="str">
        <x:v>牛魔王/悟空变化系统</x:v>
      </x:c>
      <x:c r="E22" s="27" t="str">
        <x:v>牛魔王、孙悟空</x:v>
      </x:c>
      <x:c r="F22" s="27" t="str">
        <x:v>双方通过变化术影响识别、骗取与反制。</x:v>
      </x:c>
      <x:c r="G22" s="27" t="str">
        <x:v>身份伪装/真假识别</x:v>
      </x:c>
      <x:c r="H22" s="27" t="str">
        <x:v>多方识破与协同处置</x:v>
      </x:c>
      <x:c r="I22" s="27" t="str">
        <x:v>通过交叉验证和外援合围收束</x:v>
      </x:c>
      <x:c r="J22" s="27" t="str">
        <x:v>身份伪装是《西游记》风险治理的高频机制。</x:v>
      </x:c>
      <x:c r="K22" s="27" t="str">
        <x:v>待校核原文</x:v>
      </x:c>
      <x:c r="L22" s="27" t="str">
        <x:v>https://zh.wikisource.org/wiki/西游记/第六十回</x:v>
      </x:c>
      <x:c r="M22" s="27" t="str">
        <x:v>可与真假美猴王、假观音对照。</x:v>
      </x:c>
      <x:c r="N22" s="24"/>
    </x:row>
    <x:row r="23" ht="26.399999618530273" hidden="0" customHeight="1">
      <x:c r="A23" s="24" t="str">
        <x:v>B023</x:v>
      </x:c>
      <x:c r="B23" s="24" t="str">
        <x:v>祭赛国佛宝/舍利宝物</x:v>
      </x:c>
      <x:c r="C23" s="24" t="str">
        <x:v>第62—63回</x:v>
      </x:c>
      <x:c r="D23" s="24" t="str">
        <x:v>祭赛国金光寺/佛塔系统</x:v>
      </x:c>
      <x:c r="E23" s="24" t="str">
        <x:v>被万圣龙宫与九头虫一方盗取</x:v>
      </x:c>
      <x:c r="F23" s="24" t="str">
        <x:v>作为宝塔放光的核心圣物，失窃后引发僧众受冤。</x:v>
      </x:c>
      <x:c r="G23" s="24" t="str">
        <x:v>信仰标识/公共信用资产/失宝冤案</x:v>
      </x:c>
      <x:c r="H23" s="24" t="str">
        <x:v>悟空、八戒、二郎神等协同追回</x:v>
      </x:c>
      <x:c r="I23" s="24" t="str">
        <x:v>追回宝物，昭雪冤案</x:v>
      </x:c>
      <x:c r="J23" s="24" t="str">
        <x:v>公共象征物一旦失控，会引发治理和信用危机。</x:v>
      </x:c>
      <x:c r="K23" s="24" t="str">
        <x:v>待校核原文</x:v>
      </x:c>
      <x:c r="L23" s="24" t="str">
        <x:v>https://zh.wikisource.org/wiki/西游记/第六十二回</x:v>
      </x:c>
      <x:c r="M23" s="24" t="str">
        <x:v>需校核宝物具体名称。</x:v>
      </x:c>
      <x:c r="N23" s="24"/>
    </x:row>
    <x:row r="24" ht="26.399999618530273" hidden="0" customHeight="1">
      <x:c r="A24" s="24" t="str">
        <x:v>B024</x:v>
      </x:c>
      <x:c r="B24" s="24" t="str">
        <x:v>金铙</x:v>
      </x:c>
      <x:c r="C24" s="24" t="str">
        <x:v>第65—66回</x:v>
      </x:c>
      <x:c r="D24" s="24" t="str">
        <x:v>弥勒系统/黄眉老怪</x:v>
      </x:c>
      <x:c r="E24" s="24" t="str">
        <x:v>黄眉老怪</x:v>
      </x:c>
      <x:c r="F24" s="24" t="str">
        <x:v>将悟空困住，形成强控制空间。</x:v>
      </x:c>
      <x:c r="G24" s="24" t="str">
        <x:v>法宝压制/救援延迟</x:v>
      </x:c>
      <x:c r="H24" s="24" t="str">
        <x:v>诸神、悟空、弥勒系统</x:v>
      </x:c>
      <x:c r="I24" s="24" t="str">
        <x:v>经多方救援后破局，最终黄眉被收</x:v>
      </x:c>
      <x:c r="J24" s="24" t="str">
        <x:v>强控制型法宝可压制最强执行者。</x:v>
      </x:c>
      <x:c r="K24" s="24" t="str">
        <x:v>待校核原文</x:v>
      </x:c>
      <x:c r="L24" s="24" t="str">
        <x:v>https://zh.wikisource.org/wiki/西游记/第六十五回</x:v>
      </x:c>
      <x:c r="M24" s="24" t="str">
        <x:v>可与幌金绳、金刚琢对比。</x:v>
      </x:c>
      <x:c r="N24" s="24"/>
    </x:row>
    <x:row r="25" ht="26.399999618530273" hidden="0" customHeight="1">
      <x:c r="A25" s="24" t="str">
        <x:v>B025</x:v>
      </x:c>
      <x:c r="B25" s="24" t="str">
        <x:v>人种袋</x:v>
      </x:c>
      <x:c r="C25" s="24" t="str">
        <x:v>第65—66回</x:v>
      </x:c>
      <x:c r="D25" s="24" t="str">
        <x:v>弥勒系统/黄眉老怪</x:v>
      </x:c>
      <x:c r="E25" s="24" t="str">
        <x:v>黄眉老怪</x:v>
      </x:c>
      <x:c r="F25" s="24" t="str">
        <x:v>收摄诸神与对手，使多轮救援失效。</x:v>
      </x:c>
      <x:c r="G25" s="24" t="str">
        <x:v>系统资源外流/群体拘摄/救援失效</x:v>
      </x:c>
      <x:c r="H25" s="24" t="str">
        <x:v>弥勒佛</x:v>
      </x:c>
      <x:c r="I25" s="24" t="str">
        <x:v>弥勒设法收回并降伏黄眉</x:v>
      </x:c>
      <x:c r="J25" s="24" t="str">
        <x:v>当工具具备批量控制能力，风险从个体冲突升级为系统性风险。</x:v>
      </x:c>
      <x:c r="K25" s="24" t="str">
        <x:v>待校核原文</x:v>
      </x:c>
      <x:c r="L25" s="24" t="str">
        <x:v>https://zh.wikisource.org/wiki/西游记/第六十六回</x:v>
      </x:c>
      <x:c r="M25" s="24" t="str">
        <x:v>小雷音段核心法宝。</x:v>
      </x:c>
      <x:c r="N25" s="24"/>
    </x:row>
    <x:row r="26" ht="26.399999618530273" hidden="0" customHeight="1">
      <x:c r="A26" s="24" t="str">
        <x:v>B025</x:v>
      </x:c>
      <x:c r="B26" s="24" t="str">
        <x:v>悬丝诊脉/医治技艺</x:v>
      </x:c>
      <x:c r="C26" s="24" t="str">
        <x:v>第68回</x:v>
      </x:c>
      <x:c r="D26" s="24" t="str">
        <x:v>孙悟空/医治系统</x:v>
      </x:c>
      <x:c r="E26" s="24" t="str">
        <x:v>孙悟空</x:v>
      </x:c>
      <x:c r="F26" s="24" t="str">
        <x:v>以医者方式诊断朱紫国王病情，进入治理场景。</x:v>
      </x:c>
      <x:c r="G26" s="24" t="str">
        <x:v>诊断能力/治理入口</x:v>
      </x:c>
      <x:c r="H26" s="24" t="str">
        <x:v>孙悟空自用</x:v>
      </x:c>
      <x:c r="I26" s="24" t="str">
        <x:v>用于识别病因并推动旧案揭示</x:v>
      </x:c>
      <x:c r="J26" s="24" t="str">
        <x:v>能力不只体现为武力，也体现为诊断与系统判断。</x:v>
      </x:c>
      <x:c r="K26" s="24" t="str">
        <x:v>待校核原文</x:v>
      </x:c>
      <x:c r="L26" s="24" t="str">
        <x:v>https://zh.wikisource.org/wiki/西游记/第六十八回</x:v>
      </x:c>
      <x:c r="M26" s="24" t="str">
        <x:v>可归入能力资源，不一定是传统法宝。</x:v>
      </x:c>
      <x:c r="N26" s="24"/>
    </x:row>
    <x:row r="27" ht="26.399999618530273" hidden="0" customHeight="1">
      <x:c r="A27" s="24" t="str">
        <x:v>B026</x:v>
      </x:c>
      <x:c r="B27" s="24" t="str">
        <x:v>药丸/丸药</x:v>
      </x:c>
      <x:c r="C27" s="24" t="str">
        <x:v>第69回</x:v>
      </x:c>
      <x:c r="D27" s="24" t="str">
        <x:v>孙悟空配制</x:v>
      </x:c>
      <x:c r="E27" s="24" t="str">
        <x:v>孙悟空</x:v>
      </x:c>
      <x:c r="F27" s="24" t="str">
        <x:v>为朱紫国王治病，缓解症状。</x:v>
      </x:c>
      <x:c r="G27" s="24" t="str">
        <x:v>医治资源/修复能力</x:v>
      </x:c>
      <x:c r="H27" s="24" t="str">
        <x:v>朱紫国王服用</x:v>
      </x:c>
      <x:c r="I27" s="24" t="str">
        <x:v>症状缓解，但根因仍需追索</x:v>
      </x:c>
      <x:c r="J27" s="24" t="str">
        <x:v>治标与治本要区分。</x:v>
      </x:c>
      <x:c r="K27" s="24" t="str">
        <x:v>待校核原文</x:v>
      </x:c>
      <x:c r="L27" s="24" t="str">
        <x:v>https://zh.wikisource.org/wiki/西游记/第六十九回</x:v>
      </x:c>
      <x:c r="M27" s="24" t="str">
        <x:v>需校核药物名称和细节。</x:v>
      </x:c>
      <x:c r="N27" s="24"/>
    </x:row>
    <x:row r="28" ht="26.399999618530273" hidden="0" customHeight="1">
      <x:c r="A28" s="24" t="str">
        <x:v>B027</x:v>
      </x:c>
      <x:c r="B28" s="24" t="str">
        <x:v>紫金铃</x:v>
      </x:c>
      <x:c r="C28" s="24" t="str">
        <x:v>第70—71回</x:v>
      </x:c>
      <x:c r="D28" s="24" t="str">
        <x:v>观音系统/金毛犼携出</x:v>
      </x:c>
      <x:c r="E28" s="24" t="str">
        <x:v>赛太岁/金毛犼，后被悟空盗取</x:v>
      </x:c>
      <x:c r="F28" s="24" t="str">
        <x:v>可放烟、沙、火，形成强压制性攻击。</x:v>
      </x:c>
      <x:c r="G28" s="24" t="str">
        <x:v>后台法宝/高危工具/系统资源外溢</x:v>
      </x:c>
      <x:c r="H28" s="24" t="str">
        <x:v>孙悟空、观音</x:v>
      </x:c>
      <x:c r="I28" s="24" t="str">
        <x:v>悟空计盗，观音收回</x:v>
      </x:c>
      <x:c r="J28" s="24" t="str">
        <x:v>法宝决定妖怪风险等级，是后台妖怪研究的关键样本。</x:v>
      </x:c>
      <x:c r="K28" s="24" t="str">
        <x:v>待校核原文</x:v>
      </x:c>
      <x:c r="L28" s="24" t="str">
        <x:v>https://zh.wikisource.org/wiki/西游记/第七十回</x:v>
      </x:c>
      <x:c r="M28" s="24" t="str">
        <x:v>与平顶山老君法宝、金兜洞金刚琢对照。</x:v>
      </x:c>
      <x:c r="N28" s="24"/>
    </x:row>
    <x:row r="29">
      <x:c r="A29" s="27" t="str">
        <x:v>B028</x:v>
      </x:c>
      <x:c r="B29" s="27" t="str">
        <x:v>蛛丝/蛛网缠缚</x:v>
      </x:c>
      <x:c r="C29" s="27" t="str">
        <x:v>第72回</x:v>
      </x:c>
      <x:c r="D29" s="27" t="str">
        <x:v>蜘蛛精/盘丝洞系统</x:v>
      </x:c>
      <x:c r="E29" s="27" t="str">
        <x:v>七个蜘蛛精</x:v>
      </x:c>
      <x:c r="F29" s="27" t="str">
        <x:v>以丝线缠缚人身，限制行动。</x:v>
      </x:c>
      <x:c r="G29" s="27" t="str">
        <x:v>身体控制/行动限制/情境陷阱</x:v>
      </x:c>
      <x:c r="H29" s="27" t="str">
        <x:v>孙悟空</x:v>
      </x:c>
      <x:c r="I29" s="27" t="str">
        <x:v>识破妖情并解救</x:v>
      </x:c>
      <x:c r="J29" s="27" t="str">
        <x:v>缠缚比正面打斗更像慢性风险。</x:v>
      </x:c>
      <x:c r="K29" s="27" t="str">
        <x:v>待校核原文</x:v>
      </x:c>
      <x:c r="L29" s="27" t="str">
        <x:v>https://zh.wikisource.org/wiki/西游记/第72回</x:v>
      </x:c>
      <x:c r="M29" s="27" t="str">
        <x:v>可归入非传统法宝/妖术。</x:v>
      </x:c>
      <x:c r="N29" s="24"/>
    </x:row>
    <x:row r="30">
      <x:c r="A30" s="27" t="str">
        <x:v>B029</x:v>
      </x:c>
      <x:c r="B30" s="27" t="str">
        <x:v>金光毒眼/多目金光</x:v>
      </x:c>
      <x:c r="C30" s="27" t="str">
        <x:v>第73回</x:v>
      </x:c>
      <x:c r="D30" s="27" t="str">
        <x:v>蜈蚣精/多目怪</x:v>
      </x:c>
      <x:c r="E30" s="27" t="str">
        <x:v>蜈蚣精/多目怪</x:v>
      </x:c>
      <x:c r="F30" s="27" t="str">
        <x:v>以金光毒眼伤敌、遮蔽判断，克制悟空。</x:v>
      </x:c>
      <x:c r="G30" s="27" t="str">
        <x:v>视觉压制/毒害/专业克制</x:v>
      </x:c>
      <x:c r="H30" s="27" t="str">
        <x:v>毗蓝婆菩萨</x:v>
      </x:c>
      <x:c r="I30" s="27" t="str">
        <x:v>以绣花针破法</x:v>
      </x:c>
      <x:c r="J30" s="27" t="str">
        <x:v>强能力遇到专门克制，需要专门工具。</x:v>
      </x:c>
      <x:c r="K30" s="27" t="str">
        <x:v>待校核原文</x:v>
      </x:c>
      <x:c r="L30" s="27" t="str">
        <x:v>https://zh.wikisource.org/wiki/西游记/第73回</x:v>
      </x:c>
      <x:c r="M30" s="27" t="str">
        <x:v>需校核术法名称。</x:v>
      </x:c>
      <x:c r="N30" s="24"/>
    </x:row>
    <x:row r="31">
      <x:c r="A31" s="27" t="str">
        <x:v>B030</x:v>
      </x:c>
      <x:c r="B31" s="27" t="str">
        <x:v>绣花针/破目工具</x:v>
      </x:c>
      <x:c r="C31" s="27" t="str">
        <x:v>第73回</x:v>
      </x:c>
      <x:c r="D31" s="27" t="str">
        <x:v>毗蓝婆菩萨</x:v>
      </x:c>
      <x:c r="E31" s="27" t="str">
        <x:v>毗蓝婆菩萨</x:v>
      </x:c>
      <x:c r="F31" s="27" t="str">
        <x:v>针对多目怪金光毒眼的专门破法工具。</x:v>
      </x:c>
      <x:c r="G31" s="27" t="str">
        <x:v>专家工具/以小破大</x:v>
      </x:c>
      <x:c r="H31" s="27" t="str">
        <x:v>毗蓝婆菩萨</x:v>
      </x:c>
      <x:c r="I31" s="27" t="str">
        <x:v>直接破除多目怪能力</x:v>
      </x:c>
      <x:c r="J31" s="27" t="str">
        <x:v>小工具有时能破解大系统。</x:v>
      </x:c>
      <x:c r="K31" s="27" t="str">
        <x:v>待校核原文</x:v>
      </x:c>
      <x:c r="L31" s="27" t="str">
        <x:v>https://zh.wikisource.org/wiki/西游记/第73回</x:v>
      </x:c>
      <x:c r="M31" s="27" t="str">
        <x:v>与金刚琢、人种袋等大型法宝形成对照。</x:v>
      </x:c>
      <x:c r="N31" s="24"/>
    </x:row>
    <x:row r="32">
      <x:c r="A32" s="27" t="str">
        <x:v>B031</x:v>
      </x:c>
      <x:c r="B32" s="27" t="str">
        <x:v>青狮吞噬/体内困局</x:v>
      </x:c>
      <x:c r="C32" s="27" t="str">
        <x:v>第75回</x:v>
      </x:c>
      <x:c r="D32" s="27" t="str">
        <x:v>青狮精/文殊坐骑外溢</x:v>
      </x:c>
      <x:c r="E32" s="27" t="str">
        <x:v>青狮精</x:v>
      </x:c>
      <x:c r="F32" s="27" t="str">
        <x:v>以吞噬方式控制对手，将外部战斗转为体内困局。</x:v>
      </x:c>
      <x:c r="G32" s="27" t="str">
        <x:v>身体控制/内部风险/强压制</x:v>
      </x:c>
      <x:c r="H32" s="27" t="str">
        <x:v>孙悟空</x:v>
      </x:c>
      <x:c r="I32" s="27" t="str">
        <x:v>悟空在腹内反制，迫使青狮受制</x:v>
      </x:c>
      <x:c r="J32" s="27" t="str">
        <x:v>强大控制系统往往也暴露内部弱点。</x:v>
      </x:c>
      <x:c r="K32" s="27" t="str">
        <x:v>待校核原文</x:v>
      </x:c>
      <x:c r="L32" s="27" t="str">
        <x:v>https://zh.wikisource.org/wiki/西游记/第七十五回</x:v>
      </x:c>
      <x:c r="M32" s="27" t="str">
        <x:v>非传统法宝，可归入妖术/能力资源。</x:v>
      </x:c>
      <x:c r="N32" s="24"/>
    </x:row>
    <x:row r="33">
      <x:c r="A33" s="27" t="str">
        <x:v>B032</x:v>
      </x:c>
      <x:c r="B33" s="27" t="str">
        <x:v>阴阳二气瓶/收摄工具</x:v>
      </x:c>
      <x:c r="C33" s="27" t="str">
        <x:v>第75—76回</x:v>
      </x:c>
      <x:c r="D33" s="27" t="str">
        <x:v>大鹏等三魔系统</x:v>
      </x:c>
      <x:c r="E33" s="27" t="str">
        <x:v>大鹏/三魔一方</x:v>
      </x:c>
      <x:c r="F33" s="27" t="str">
        <x:v>用于困摄悟空等对象，体现收摄与密闭空间风险。</x:v>
      </x:c>
      <x:c r="G33" s="27" t="str">
        <x:v>空间控制/收摄工具/极端压制</x:v>
      </x:c>
      <x:c r="H33" s="27" t="str">
        <x:v>孙悟空等反制/如来收束</x:v>
      </x:c>
      <x:c r="I33" s="27" t="str">
        <x:v>通过机变和外援破局</x:v>
      </x:c>
      <x:c r="J33" s="27" t="str">
        <x:v>与人种袋、金刚琢等批量收摄工具可比较。</x:v>
      </x:c>
      <x:c r="K33" s="27" t="str">
        <x:v>待校核原文</x:v>
      </x:c>
      <x:c r="L33" s="27" t="str">
        <x:v>https://zh.wikisource.org/wiki/西游记/第七十五回</x:v>
      </x:c>
      <x:c r="M33" s="27" t="str">
        <x:v>具体使用细节需校注本核对。</x:v>
      </x:c>
      <x:c r="N33" s="24"/>
    </x:row>
    <x:row r="34">
      <x:c r="A34" s="27" t="str">
        <x:v>B033</x:v>
      </x:c>
      <x:c r="B34" s="27" t="str">
        <x:v>三魔组织体系</x:v>
      </x:c>
      <x:c r="C34" s="27" t="str">
        <x:v>第74—77回</x:v>
      </x:c>
      <x:c r="D34" s="27" t="str">
        <x:v>狮驼岭三魔集团</x:v>
      </x:c>
      <x:c r="E34" s="27" t="str">
        <x:v>青狮、白象、大鹏及群妖</x:v>
      </x:c>
      <x:c r="F34" s="27" t="str">
        <x:v>不是单一法宝，而是组织化控制资源：分工、群妖、地盘、威慑。</x:v>
      </x:c>
      <x:c r="G34" s="27" t="str">
        <x:v>组织资源/区域控制/集团风险</x:v>
      </x:c>
      <x:c r="H34" s="27" t="str">
        <x:v>如来、文殊、普贤、悟空</x:v>
      </x:c>
      <x:c r="I34" s="27" t="str">
        <x:v>最高层级系统收束</x:v>
      </x:c>
      <x:c r="J34" s="27" t="str">
        <x:v>组织本身也可以是‘法宝’，比单件武器更危险。</x:v>
      </x:c>
      <x:c r="K34" s="27" t="str">
        <x:v>待校核原文</x:v>
      </x:c>
      <x:c r="L34" s="27" t="str">
        <x:v>https://zh.wikisource.org/wiki/西游记/第七十七回</x:v>
      </x:c>
      <x:c r="M34" s="27" t="str">
        <x:v>建议在后续新增“组织形态表”。</x:v>
      </x:c>
      <x:c r="N34" s="24"/>
    </x:row>
    <x:row r="35">
      <x:c r="A35" s="24" t="str">
        <x:v>B035</x:v>
      </x:c>
      <x:c r="B35" s="24" t="str">
        <x:v>比丘国害童药方/长生方</x:v>
      </x:c>
      <x:c r="C35" s="24" t="str">
        <x:v>第78回</x:v>
      </x:c>
      <x:c r="D35" s="24" t="str">
        <x:v>白鹿精/国丈伪术</x:v>
      </x:c>
      <x:c r="E35" s="24" t="str">
        <x:v>比丘国王/国丈</x:v>
      </x:c>
      <x:c r="F35" s="24" t="str">
        <x:v>以小儿心肝入药，包装成延寿秘方。</x:v>
      </x:c>
      <x:c r="G35" s="24" t="str">
        <x:v>伪科学/权力滥用/儿童伤害</x:v>
      </x:c>
      <x:c r="H35" s="24" t="str">
        <x:v>孙悟空识破</x:v>
      </x:c>
      <x:c r="I35" s="24" t="str">
        <x:v>妖方被破，儿童获救</x:v>
      </x:c>
      <x:c r="J35" s="24" t="str">
        <x:v>将养生迷信转化为国家风险的典型。</x:v>
      </x:c>
      <x:c r="K35" s="24" t="str">
        <x:v>待校核原文</x:v>
      </x:c>
      <x:c r="L35" s="24" t="str">
        <x:v>https://zh.wikisource.org/wiki/西游记/第七十八回</x:v>
      </x:c>
      <x:c r="M35" s="24" t="str">
        <x:v>严格说不是法宝，而是危险知识/妖术方案。</x:v>
      </x:c>
      <x:c r="N35" s="24"/>
    </x:row>
    <x:row r="36">
      <x:c r="A36" s="24" t="str">
        <x:v>B036</x:v>
      </x:c>
      <x:c r="B36" s="24" t="str">
        <x:v>白鹿变化/伪国丈身份</x:v>
      </x:c>
      <x:c r="C36" s="24" t="str">
        <x:v>第78—79回</x:v>
      </x:c>
      <x:c r="D36" s="24" t="str">
        <x:v>白鹿精/寿星坐骑</x:v>
      </x:c>
      <x:c r="E36" s="24" t="str">
        <x:v>白鹿精</x:v>
      </x:c>
      <x:c r="F36" s="24" t="str">
        <x:v>以国丈身份影响王权决策。</x:v>
      </x:c>
      <x:c r="G36" s="24" t="str">
        <x:v>身份伪装/制度渗透</x:v>
      </x:c>
      <x:c r="H36" s="24" t="str">
        <x:v>孙悟空、南极老人</x:v>
      </x:c>
      <x:c r="I36" s="24" t="str">
        <x:v>被识破并收回</x:v>
      </x:c>
      <x:c r="J36" s="24" t="str">
        <x:v>比单纯武力更危险的是进入制度核心。</x:v>
      </x:c>
      <x:c r="K36" s="24" t="str">
        <x:v>待校核原文</x:v>
      </x:c>
      <x:c r="L36" s="24" t="str">
        <x:v>https://zh.wikisource.org/wiki/西游记/第七十九回</x:v>
      </x:c>
      <x:c r="M36" s="24" t="str">
        <x:v>可归入能力/身份伪装。</x:v>
      </x:c>
      <x:c r="N36" s="24"/>
    </x:row>
    <x:row r="37">
      <x:c r="A37" s="24" t="str">
        <x:v>B037</x:v>
      </x:c>
      <x:c r="B37" s="24" t="str">
        <x:v>无底洞摄诱系统</x:v>
      </x:c>
      <x:c r="C37" s="24" t="str">
        <x:v>第80—83回</x:v>
      </x:c>
      <x:c r="D37" s="24" t="str">
        <x:v>地涌夫人/无底洞</x:v>
      </x:c>
      <x:c r="E37" s="24" t="str">
        <x:v>地涌夫人</x:v>
      </x:c>
      <x:c r="F37" s="24" t="str">
        <x:v>以女子形态、洞府空间和逼婚情境困住唐僧。</x:v>
      </x:c>
      <x:c r="G37" s="24" t="str">
        <x:v>欲望陷阱/空间拘禁/身份迷局</x:v>
      </x:c>
      <x:c r="H37" s="24" t="str">
        <x:v>孙悟空、托塔天王、哪吒</x:v>
      </x:c>
      <x:c r="I37" s="24" t="str">
        <x:v>追溯后台后收束</x:v>
      </x:c>
      <x:c r="J37" s="24" t="str">
        <x:v>风险不靠单一法宝，而靠场景、身份和情绪组合。</x:v>
      </x:c>
      <x:c r="K37" s="24" t="str">
        <x:v>待校核原文</x:v>
      </x:c>
      <x:c r="L37" s="24" t="str">
        <x:v>https://zh.wikisource.org/wiki/西游记/第八十二回</x:v>
      </x:c>
      <x:c r="M37" s="24" t="str">
        <x:v>适合作为非器物型法宝/能力。</x:v>
      </x:c>
      <x:c r="N37" s="24"/>
    </x:row>
    <x:row r="38">
      <x:c r="A38" s="24" t="str">
        <x:v>B038</x:v>
      </x:c>
      <x:c r="B38" s="24" t="str">
        <x:v>义亲后台/天王牌位</x:v>
      </x:c>
      <x:c r="C38" s="24" t="str">
        <x:v>第83回</x:v>
      </x:c>
      <x:c r="D38" s="24" t="str">
        <x:v>托塔天王、哪吒关系链</x:v>
      </x:c>
      <x:c r="E38" s="24" t="str">
        <x:v>地涌夫人</x:v>
      </x:c>
      <x:c r="F38" s="24" t="str">
        <x:v>通过供奉/义亲关系形成隐性后台。</x:v>
      </x:c>
      <x:c r="G38" s="24" t="str">
        <x:v>后台关系/责任边界</x:v>
      </x:c>
      <x:c r="H38" s="24" t="str">
        <x:v>孙悟空追责</x:v>
      </x:c>
      <x:c r="I38" s="24" t="str">
        <x:v>天庭系统出面协同</x:v>
      </x:c>
      <x:c r="J38" s="24" t="str">
        <x:v>关系本身也可能成为风险资源。</x:v>
      </x:c>
      <x:c r="K38" s="24" t="str">
        <x:v>待校核原文</x:v>
      </x:c>
      <x:c r="L38" s="24" t="str">
        <x:v>https://zh.wikisource.org/wiki/西游记/第八十三回</x:v>
      </x:c>
      <x:c r="M38" s="24" t="str">
        <x:v>后台表与关系表联动。</x:v>
      </x:c>
      <x:c r="N38" s="24"/>
    </x:row>
    <x:row r="39">
      <x:c r="A39" s="24" t="str">
        <x:v>B039</x:v>
      </x:c>
      <x:c r="B39" s="24" t="str">
        <x:v>剃发反转/身份转换术</x:v>
      </x:c>
      <x:c r="C39" s="24" t="str">
        <x:v>第84回</x:v>
      </x:c>
      <x:c r="D39" s="24" t="str">
        <x:v>孙悟空/变化法术</x:v>
      </x:c>
      <x:c r="E39" s="24" t="str">
        <x:v>孙悟空</x:v>
      </x:c>
      <x:c r="F39" s="24" t="str">
        <x:v>通过剃发、变化和象征反转改变王臣对僧人身份的认知。</x:v>
      </x:c>
      <x:c r="G39" s="24" t="str">
        <x:v>身份治理/象征反转/制度纠偏</x:v>
      </x:c>
      <x:c r="H39" s="24" t="str">
        <x:v>灭法国王改心</x:v>
      </x:c>
      <x:c r="I39" s="24" t="str">
        <x:v>政策转向，灭法变钦法</x:v>
      </x:c>
      <x:c r="J39" s="24" t="str">
        <x:v>不是攻击性法宝，而是观念治理工具。</x:v>
      </x:c>
      <x:c r="K39" s="24" t="str">
        <x:v>待校核原文</x:v>
      </x:c>
      <x:c r="L39" s="24" t="str">
        <x:v>https://zh.wikisource.org/wiki/西游记/第八十四回</x:v>
      </x:c>
      <x:c r="M39" s="24" t="str">
        <x:v>非器物型能力。</x:v>
      </x:c>
      <x:c r="N39" s="24"/>
    </x:row>
    <x:row r="40">
      <x:c r="A40" s="24" t="str">
        <x:v>B040</x:v>
      </x:c>
      <x:c r="B40" s="24" t="str">
        <x:v>灭法国政令/禁僧制度</x:v>
      </x:c>
      <x:c r="C40" s="24" t="str">
        <x:v>第84回</x:v>
      </x:c>
      <x:c r="D40" s="24" t="str">
        <x:v>灭法国王权系统</x:v>
      </x:c>
      <x:c r="E40" s="24" t="str">
        <x:v>灭法国王与官府</x:v>
      </x:c>
      <x:c r="F40" s="24" t="str">
        <x:v>以制度命令形成对僧人身份的压制。</x:v>
      </x:c>
      <x:c r="G40" s="24" t="str">
        <x:v>制度风险/群体偏见</x:v>
      </x:c>
      <x:c r="H40" s="24" t="str">
        <x:v>孙悟空反制</x:v>
      </x:c>
      <x:c r="I40" s="24" t="str">
        <x:v>制度价值转向</x:v>
      </x:c>
      <x:c r="J40" s="24" t="str">
        <x:v>负面制度本身也是一种风险工具。</x:v>
      </x:c>
      <x:c r="K40" s="24" t="str">
        <x:v>待校核原文</x:v>
      </x:c>
      <x:c r="L40" s="24" t="str">
        <x:v>https://zh.wikisource.org/wiki/西游记/第八十四回</x:v>
      </x:c>
      <x:c r="M40" s="24" t="str">
        <x:v>可纳入制度工具类。</x:v>
      </x:c>
      <x:c r="N40" s="24"/>
    </x:row>
    <x:row r="41">
      <x:c r="A41" s="24" t="str">
        <x:v>B041</x:v>
      </x:c>
      <x:c r="B41" s="24" t="str">
        <x:v>隐雾山诱捕系统</x:v>
      </x:c>
      <x:c r="C41" s="24" t="str">
        <x:v>第85—86回</x:v>
      </x:c>
      <x:c r="D41" s="24" t="str">
        <x:v>南山大王/豹子精</x:v>
      </x:c>
      <x:c r="E41" s="24" t="str">
        <x:v>豹子精与小妖群</x:v>
      </x:c>
      <x:c r="F41" s="24" t="str">
        <x:v>以地形、洞府、小妖执行和计谋诱捕唐僧。</x:v>
      </x:c>
      <x:c r="G41" s="24" t="str">
        <x:v>环境陷阱/信息遮蔽/普通妖怪风险</x:v>
      </x:c>
      <x:c r="H41" s="24" t="str">
        <x:v>孙悟空、猪八戒</x:v>
      </x:c>
      <x:c r="I41" s="24" t="str">
        <x:v>侦察识破并灭妖</x:v>
      </x:c>
      <x:c r="J41" s="24" t="str">
        <x:v>没有强法宝，也可通过场景组合构成风险。</x:v>
      </x:c>
      <x:c r="K41" s="24" t="str">
        <x:v>待校核原文</x:v>
      </x:c>
      <x:c r="L41" s="24" t="str">
        <x:v>https://zh.wikisource.org/wiki/西游记/第八十五回</x:v>
      </x:c>
      <x:c r="M41" s="24" t="str">
        <x:v>非器物型法宝/能力。</x:v>
      </x:c>
      <x:c r="N41" s="24"/>
    </x:row>
    <x:row r="42">
      <x:c r="A42" s="27" t="str">
        <x:v>B042</x:v>
      </x:c>
      <x:c r="B42" s="27" t="str">
        <x:v>凤仙郡止雨/施雨系统</x:v>
      </x:c>
      <x:c r="C42" s="27" t="str">
        <x:v>第87回</x:v>
      </x:c>
      <x:c r="D42" s="27" t="str">
        <x:v>天庭/雷部</x:v>
      </x:c>
      <x:c r="E42" s="27" t="str">
        <x:v>玉帝、雷部诸神，经悟空协调</x:v>
      </x:c>
      <x:c r="F42" s="27" t="str">
        <x:v>以天庭气象资源决定地方旱涝，须符合天庭秩序和地方悔过条件。</x:v>
      </x:c>
      <x:c r="G42" s="27" t="str">
        <x:v>系统资源/气象治理/上级资源</x:v>
      </x:c>
      <x:c r="H42" s="27" t="str">
        <x:v>孙悟空协调，郡侯悔过</x:v>
      </x:c>
      <x:c r="I42" s="27" t="str">
        <x:v>雷部施雨</x:v>
      </x:c>
      <x:c r="J42" s="27" t="str">
        <x:v>降雨不是单一法术，而是跨系统治理资源。</x:v>
      </x:c>
      <x:c r="K42" s="27" t="str">
        <x:v>待校核原文</x:v>
      </x:c>
      <x:c r="L42" s="27" t="str">
        <x:v>https://zh.wikisource.org/wiki/西游记/第八十七回</x:v>
      </x:c>
      <x:c r="M42" s="27" t="str">
        <x:v>非器物型资源。</x:v>
      </x:c>
      <x:c r="N42" s="24"/>
    </x:row>
    <x:row r="43">
      <x:c r="A43" s="27" t="str">
        <x:v>B043</x:v>
      </x:c>
      <x:c r="B43" s="27" t="str">
        <x:v>三徒兵器展示</x:v>
      </x:c>
      <x:c r="C43" s="27" t="str">
        <x:v>第88—89回</x:v>
      </x:c>
      <x:c r="D43" s="27" t="str">
        <x:v>取经团队</x:v>
      </x:c>
      <x:c r="E43" s="27" t="str">
        <x:v>孙悟空、猪八戒、沙僧、玉华王子</x:v>
      </x:c>
      <x:c r="F43" s="27" t="str">
        <x:v>金箍棒、钉钯、禅杖等能力载体被展示和学习。</x:v>
      </x:c>
      <x:c r="G43" s="27" t="str">
        <x:v>关键资源暴露/传承边界</x:v>
      </x:c>
      <x:c r="H43" s="27" t="str">
        <x:v>黄狮精盗取后由三徒夺回</x:v>
      </x:c>
      <x:c r="I43" s="27" t="str">
        <x:v>潜入反制</x:v>
      </x:c>
      <x:c r="J43" s="27" t="str">
        <x:v>公开展示关键工具会改变风险暴露面。</x:v>
      </x:c>
      <x:c r="K43" s="27" t="str">
        <x:v>待校核原文</x:v>
      </x:c>
      <x:c r="L43" s="27" t="str">
        <x:v>https://zh.wikisource.org/wiki/西游记/第八十八回</x:v>
      </x:c>
      <x:c r="M43" s="27" t="str">
        <x:v>与第89回直接联动。</x:v>
      </x:c>
      <x:c r="N43" s="24"/>
    </x:row>
    <x:row r="44">
      <x:c r="A44" s="27" t="str">
        <x:v>B044</x:v>
      </x:c>
      <x:c r="B44" s="27" t="str">
        <x:v>钉钯宴/被盗兵器</x:v>
      </x:c>
      <x:c r="C44" s="27" t="str">
        <x:v>第89回</x:v>
      </x:c>
      <x:c r="D44" s="27" t="str">
        <x:v>黄狮精/豹头山妖怪系统</x:v>
      </x:c>
      <x:c r="E44" s="27" t="str">
        <x:v>黄狮精、小妖群</x:v>
      </x:c>
      <x:c r="F44" s="27" t="str">
        <x:v>盗取三徒兵器并设宴炫耀，试图占有取经团队能力象征。</x:v>
      </x:c>
      <x:c r="G44" s="27" t="str">
        <x:v>资源盗取/声誉风险/工具失控</x:v>
      </x:c>
      <x:c r="H44" s="27" t="str">
        <x:v>悟空、八戒、沙僧</x:v>
      </x:c>
      <x:c r="I44" s="27" t="str">
        <x:v>变身潜入，夺回并闹山</x:v>
      </x:c>
      <x:c r="J44" s="27" t="str">
        <x:v>工具被盗不仅降低战力，也损伤身份与威慑。</x:v>
      </x:c>
      <x:c r="K44" s="27" t="str">
        <x:v>待校核原文</x:v>
      </x:c>
      <x:c r="L44" s="27" t="str">
        <x:v>https://zh.wikisource.org/wiki/西游记/第八十九回</x:v>
      </x:c>
      <x:c r="M44" s="27" t="str">
        <x:v>可作为资源治理案例。</x:v>
      </x:c>
      <x:c r="N44" s="24"/>
    </x:row>
    <x:row r="45">
      <x:c r="A45" s="27" t="str">
        <x:v>B045</x:v>
      </x:c>
      <x:c r="B45" s="27" t="str">
        <x:v>九灵元圣九头摄伏能力</x:v>
      </x:c>
      <x:c r="C45" s="27" t="str">
        <x:v>第90回</x:v>
      </x:c>
      <x:c r="D45" s="27" t="str">
        <x:v>太乙救苦天尊系统/九灵元圣</x:v>
      </x:c>
      <x:c r="E45" s="27" t="str">
        <x:v>九灵元圣</x:v>
      </x:c>
      <x:c r="F45" s="27" t="str">
        <x:v>以九头狮子本相摄伏对手，风险等级高于普通妖怪。</x:v>
      </x:c>
      <x:c r="G45" s="27" t="str">
        <x:v>高阶能力/后台坐骑/群体压制</x:v>
      </x:c>
      <x:c r="H45" s="27" t="str">
        <x:v>太乙救苦天尊</x:v>
      </x:c>
      <x:c r="I45" s="27" t="str">
        <x:v>天尊出面收回</x:v>
      </x:c>
      <x:c r="J45" s="27" t="str">
        <x:v>坐骑能力一旦外溢，普通战斗手段很难闭环。</x:v>
      </x:c>
      <x:c r="K45" s="27" t="str">
        <x:v>待校核原文</x:v>
      </x:c>
      <x:c r="L45" s="27" t="str">
        <x:v>https://zh.wikisource.org/wiki/西游记/第九十回</x:v>
      </x:c>
      <x:c r="M45" s="27" t="str">
        <x:v>需校核具体法力表现。</x:v>
      </x:c>
      <x:c r="N45" s="24"/>
    </x:row>
    <x:row r="46">
      <x:c r="A46" s="24" t="str">
        <x:v>B046</x:v>
      </x:c>
      <x:c r="B46" s="24" t="str">
        <x:v>元夜观灯/灯油供奉系统</x:v>
      </x:c>
      <x:c r="C46" s="24" t="str">
        <x:v>第91回</x:v>
      </x:c>
      <x:c r="D46" s="24" t="str">
        <x:v>金平府地方信仰系统/三犀牛怪利用</x:v>
      </x:c>
      <x:c r="E46" s="24" t="str">
        <x:v>金平府百姓、僧众、三犀牛怪</x:v>
      </x:c>
      <x:c r="F46" s="24" t="str">
        <x:v>通过长期供奉、灯油消耗和假神显灵制造资源流向。</x:v>
      </x:c>
      <x:c r="G46" s="24" t="str">
        <x:v>祭祀经济/假权威/制度化消耗</x:v>
      </x:c>
      <x:c r="H46" s="24" t="str">
        <x:v>孙悟空识破妖怪本相，四木禽星收束</x:v>
      </x:c>
      <x:c r="I46" s="24" t="str">
        <x:v>切断假供奉链条</x:v>
      </x:c>
      <x:c r="J46" s="24" t="str">
        <x:v>非器物型法宝：仪式制度本身可被妖怪利用。</x:v>
      </x:c>
      <x:c r="K46" s="24" t="str">
        <x:v>待校核原文</x:v>
      </x:c>
      <x:c r="L46" s="24" t="str">
        <x:v>https://zh.wikisource.org/wiki/西游记/第九十一回</x:v>
      </x:c>
      <x:c r="M46" s="24" t="str">
        <x:v>与通天河祭祀型风险对比。</x:v>
      </x:c>
      <x:c r="N46" s="24"/>
    </x:row>
    <x:row r="47">
      <x:c r="A47" s="24" t="str">
        <x:v>B047</x:v>
      </x:c>
      <x:c r="B47" s="24" t="str">
        <x:v>犀牛怪避寒/避暑/避尘名号系统</x:v>
      </x:c>
      <x:c r="C47" s="24" t="str">
        <x:v>第91—92回</x:v>
      </x:c>
      <x:c r="D47" s="24" t="str">
        <x:v>玄英洞三犀牛怪</x:v>
      </x:c>
      <x:c r="E47" s="24" t="str">
        <x:v>辟寒、辟暑、辟尘三怪</x:v>
      </x:c>
      <x:c r="F47" s="24" t="str">
        <x:v>以功能化名号构成三妖组合，并在金平府形成假权威。</x:v>
      </x:c>
      <x:c r="G47" s="24" t="str">
        <x:v>名号权威/功能包装/群妖组合</x:v>
      </x:c>
      <x:c r="H47" s="24" t="str">
        <x:v>四木禽星</x:v>
      </x:c>
      <x:c r="I47" s="24" t="str">
        <x:v>专业克制后收捉</x:v>
      </x:c>
      <x:c r="J47" s="24" t="str">
        <x:v>名号也是一种权威包装，需与真实本相区分。</x:v>
      </x:c>
      <x:c r="K47" s="24" t="str">
        <x:v>待校核原文</x:v>
      </x:c>
      <x:c r="L47" s="24" t="str">
        <x:v>https://zh.wikisource.org/wiki/西游记/第九十二回</x:v>
      </x:c>
      <x:c r="M47" s="24" t="str">
        <x:v>需校核法力与名号关系。</x:v>
      </x:c>
      <x:c r="N47" s="24"/>
    </x:row>
    <x:row r="48">
      <x:c r="A48" s="24" t="str">
        <x:v>B048</x:v>
      </x:c>
      <x:c r="B48" s="24" t="str">
        <x:v>四木禽星克制系统</x:v>
      </x:c>
      <x:c r="C48" s="24" t="str">
        <x:v>第92回</x:v>
      </x:c>
      <x:c r="D48" s="24" t="str">
        <x:v>天庭星宿系统</x:v>
      </x:c>
      <x:c r="E48" s="24" t="str">
        <x:v>四木禽星</x:v>
      </x:c>
      <x:c r="F48" s="24" t="str">
        <x:v>以星宿属性克制犀牛怪，完成专业收束。</x:v>
      </x:c>
      <x:c r="G48" s="24" t="str">
        <x:v>专业救援/属性相克/外部资源</x:v>
      </x:c>
      <x:c r="H48" s="24" t="str">
        <x:v>无，作为收束资源</x:v>
      </x:c>
      <x:c r="I48" s="24" t="str">
        <x:v>奉请下界擒妖</x:v>
      </x:c>
      <x:c r="J48" s="24" t="str">
        <x:v>复杂风险的破解常靠属性匹配，而非单一武力。</x:v>
      </x:c>
      <x:c r="K48" s="24" t="str">
        <x:v>待校核原文</x:v>
      </x:c>
      <x:c r="L48" s="24" t="str">
        <x:v>https://zh.wikisource.org/wiki/西游记/第九十二回</x:v>
      </x:c>
      <x:c r="M48" s="24" t="str">
        <x:v>非器物型救援资源。</x:v>
      </x:c>
      <x:c r="N48" s="24"/>
    </x:row>
    <x:row r="49">
      <x:c r="A49" s="24" t="str">
        <x:v>B049</x:v>
      </x:c>
      <x:c r="B49" s="24" t="str">
        <x:v>玉兔身份替换术</x:v>
      </x:c>
      <x:c r="C49" s="24" t="str">
        <x:v>第94—95回</x:v>
      </x:c>
      <x:c r="D49" s="24" t="str">
        <x:v>月宫玉兔/太阴星君系统</x:v>
      </x:c>
      <x:c r="E49" s="24" t="str">
        <x:v>玉兔精</x:v>
      </x:c>
      <x:c r="F49" s="24" t="str">
        <x:v>冒充天竺公主，借王室身份和婚配礼制诱导唐僧。</x:v>
      </x:c>
      <x:c r="G49" s="24" t="str">
        <x:v>身份替换/合法外衣/婚配诱惑</x:v>
      </x:c>
      <x:c r="H49" s="24" t="str">
        <x:v>孙悟空、太阴星君</x:v>
      </x:c>
      <x:c r="I49" s="24" t="str">
        <x:v>识破真形，后台收回</x:v>
      </x:c>
      <x:c r="J49" s="24" t="str">
        <x:v>身份伪装比武力冲突更隐蔽。</x:v>
      </x:c>
      <x:c r="K49" s="24" t="str">
        <x:v>待校核原文</x:v>
      </x:c>
      <x:c r="L49" s="24" t="str">
        <x:v>https://zh.wikisource.org/wiki/西游记/第九十五回</x:v>
      </x:c>
      <x:c r="M49" s="24" t="str">
        <x:v>可与真假美猴王、乌鸡国假王对比。</x:v>
      </x:c>
      <x:c r="N49" s="24"/>
    </x:row>
    <x:row r="50">
      <x:c r="A50" s="24" t="str">
        <x:v>B050</x:v>
      </x:c>
      <x:c r="B50" s="24" t="str">
        <x:v>月宫归属/太阴收束机制</x:v>
      </x:c>
      <x:c r="C50" s="24" t="str">
        <x:v>第95回</x:v>
      </x:c>
      <x:c r="D50" s="24" t="str">
        <x:v>太阴星君/月宫系统</x:v>
      </x:c>
      <x:c r="E50" s="24" t="str">
        <x:v>太阴星君、玉兔精</x:v>
      </x:c>
      <x:c r="F50" s="24" t="str">
        <x:v>由所属系统出面确认归属并收回失控对象。</x:v>
      </x:c>
      <x:c r="G50" s="24" t="str">
        <x:v>后台收束/身份归正/系统责任</x:v>
      </x:c>
      <x:c r="H50" s="24" t="str">
        <x:v>太阴星君</x:v>
      </x:c>
      <x:c r="I50" s="24" t="str">
        <x:v>收回玉兔</x:v>
      </x:c>
      <x:c r="J50" s="24" t="str">
        <x:v>后台责任不仅是认领，更是恢复被替换的秩序。</x:v>
      </x:c>
      <x:c r="K50" s="24" t="str">
        <x:v>待校核原文</x:v>
      </x:c>
      <x:c r="L50" s="24" t="str">
        <x:v>https://zh.wikisource.org/wiki/西游记/第九十五回</x:v>
      </x:c>
      <x:c r="M50" s="24" t="str">
        <x:v>后台妖怪表联动。</x:v>
      </x:c>
      <x:c r="N50" s="24"/>
    </x:row>
    <x:row r="51" ht="48" customHeight="1">
      <x:c r="A51" s="27" t="str">
        <x:v>B051</x:v>
      </x:c>
      <x:c r="B51" s="27" t="str">
        <x:v>寇员外斋僧愿力/外护资源</x:v>
      </x:c>
      <x:c r="C51" s="27" t="str">
        <x:v>第96—97回</x:v>
      </x:c>
      <x:c r="D51" s="27" t="str">
        <x:v>地方善信/寇家</x:v>
      </x:c>
      <x:c r="E51" s="27" t="str">
        <x:v>寇员外、唐僧团队</x:v>
      </x:c>
      <x:c r="F51" s="27" t="str">
        <x:v>以斋僧、供养、护持形成取经收官前的善缘资源。</x:v>
      </x:c>
      <x:c r="G51" s="27" t="str">
        <x:v>外护资源/善缘风险/财物边界</x:v>
      </x:c>
      <x:c r="H51" s="27" t="str">
        <x:v>唐僧守戒，悟空救本原</x:v>
      </x:c>
      <x:c r="I51" s="27" t="str">
        <x:v>不贪富贵，澄清冤案</x:v>
      </x:c>
      <x:c r="J51" s="27" t="str">
        <x:v>资源支持需要边界与安全闭环。</x:v>
      </x:c>
      <x:c r="K51" s="27" t="str">
        <x:v>待校核原文</x:v>
      </x:c>
      <x:c r="L51" s="27" t="str">
        <x:v>https://zh.wikisource.org/wiki/西游记/第九十六回</x:v>
      </x:c>
      <x:c r="M51" s="27" t="str">
        <x:v>非器物型资源。</x:v>
      </x:c>
      <x:c r="N51" s="24"/>
    </x:row>
    <x:row r="52" ht="48" customHeight="1">
      <x:c r="A52" s="27" t="str">
        <x:v>B052</x:v>
      </x:c>
      <x:c r="B52" s="27" t="str">
        <x:v>紫金钵盂</x:v>
      </x:c>
      <x:c r="C52" s="27" t="str">
        <x:v>第98回</x:v>
      </x:c>
      <x:c r="D52" s="27" t="str">
        <x:v>唐太宗所赐/大唐使命象征</x:v>
      </x:c>
      <x:c r="E52" s="27" t="str">
        <x:v>唐僧</x:v>
      </x:c>
      <x:c r="F52" s="27" t="str">
        <x:v>作为人事交予阿傩迦叶，换取有字真经。</x:v>
      </x:c>
      <x:c r="G52" s="27" t="str">
        <x:v>交付媒介/礼物资源/使命象征</x:v>
      </x:c>
      <x:c r="H52" s="27" t="str">
        <x:v>阿傩迦叶收取，如来系统确认</x:v>
      </x:c>
      <x:c r="I52" s="27" t="str">
        <x:v>用于换取有字真经</x:v>
      </x:c>
      <x:c r="J52" s="27" t="str">
        <x:v>连接大唐任务、唐僧身份和灵山交付规则。</x:v>
      </x:c>
      <x:c r="K52" s="27" t="str">
        <x:v>待校核原文</x:v>
      </x:c>
      <x:c r="L52" s="27" t="str">
        <x:v>https://zh.wikisource.org/wiki/西游记/第九十八回</x:v>
      </x:c>
      <x:c r="M52" s="27" t="str">
        <x:v>与无字经专题直接关联。</x:v>
      </x:c>
      <x:c r="N52" s="24"/>
    </x:row>
    <x:row r="53" ht="48" customHeight="1">
      <x:c r="A53" s="27" t="str">
        <x:v>B053</x:v>
      </x:c>
      <x:c r="B53" s="27" t="str">
        <x:v>无字经</x:v>
      </x:c>
      <x:c r="C53" s="27" t="str">
        <x:v>第98回</x:v>
      </x:c>
      <x:c r="D53" s="27" t="str">
        <x:v>灵山经卷系统</x:v>
      </x:c>
      <x:c r="E53" s="27" t="str">
        <x:v>阿傩、迦叶传出，唐僧团队取得</x:v>
      </x:c>
      <x:c r="F53" s="27" t="str">
        <x:v>表面为经，实际无字，形成终局成果质量问题。</x:v>
      </x:c>
      <x:c r="G53" s="27" t="str">
        <x:v>成果质量/真伪辨识/交付风险</x:v>
      </x:c>
      <x:c r="H53" s="27" t="str">
        <x:v>燃灯古佛提示，唐僧返换</x:v>
      </x:c>
      <x:c r="I53" s="27" t="str">
        <x:v>换取有字真经</x:v>
      </x:c>
      <x:c r="J53" s="27" t="str">
        <x:v>最典型的“交付物不合格”象征。</x:v>
      </x:c>
      <x:c r="K53" s="27" t="str">
        <x:v>待校核原文</x:v>
      </x:c>
      <x:c r="L53" s="27" t="str">
        <x:v>https://zh.wikisource.org/wiki/西游记/第九十八回</x:v>
      </x:c>
      <x:c r="M53" s="27" t="str">
        <x:v>V2.0核心专题。</x:v>
      </x:c>
      <x:c r="N53" s="24"/>
    </x:row>
    <x:row r="54" ht="48" customHeight="1">
      <x:c r="A54" s="27" t="str">
        <x:v>B054</x:v>
      </x:c>
      <x:c r="B54" s="27" t="str">
        <x:v>有字真经/三藏真经</x:v>
      </x:c>
      <x:c r="C54" s="27" t="str">
        <x:v>第98—100回</x:v>
      </x:c>
      <x:c r="D54" s="27" t="str">
        <x:v>如来/灵山系统</x:v>
      </x:c>
      <x:c r="E54" s="27" t="str">
        <x:v>唐僧团队、大唐</x:v>
      </x:c>
      <x:c r="F54" s="27" t="str">
        <x:v>承载取经成果，被带回东土传播。</x:v>
      </x:c>
      <x:c r="G54" s="27" t="str">
        <x:v>正式成果/经典文本/使命交付</x:v>
      </x:c>
      <x:c r="H54" s="27" t="str">
        <x:v>唐僧团队护送回东土</x:v>
      </x:c>
      <x:c r="I54" s="27" t="str">
        <x:v>回传长安，五圣成真</x:v>
      </x:c>
      <x:c r="J54" s="27" t="str">
        <x:v>取经工程最终交付物。</x:v>
      </x:c>
      <x:c r="K54" s="27" t="str">
        <x:v>待校核原文</x:v>
      </x:c>
      <x:c r="L54" s="27" t="str">
        <x:v>https://zh.wikisource.org/wiki/西游记/第一百回</x:v>
      </x:c>
      <x:c r="M54" s="27" t="str">
        <x:v>全书成果项。</x:v>
      </x:c>
      <x:c r="N54" s="24"/>
    </x:row>
    <x:row r="55" ht="48" customHeight="1">
      <x:c r="A55" s="27" t="str">
        <x:v>B055</x:v>
      </x:c>
      <x:c r="B55" s="27" t="str">
        <x:v>凌云渡脱壳机制</x:v>
      </x:c>
      <x:c r="C55" s="27" t="str">
        <x:v>第98回</x:v>
      </x:c>
      <x:c r="D55" s="27" t="str">
        <x:v>灵山入境系统</x:v>
      </x:c>
      <x:c r="E55" s="27" t="str">
        <x:v>唐僧师徒</x:v>
      </x:c>
      <x:c r="F55" s="27" t="str">
        <x:v>通过渡河脱去凡胎旧壳，进入真如境界。</x:v>
      </x:c>
      <x:c r="G55" s="27" t="str">
        <x:v>身份转换/生命转化/终局门槛</x:v>
      </x:c>
      <x:c r="H55" s="27" t="str">
        <x:v>无直接反制</x:v>
      </x:c>
      <x:c r="I55" s="27" t="str">
        <x:v>完成入灵山前转化</x:v>
      </x:c>
      <x:c r="J55" s="27" t="str">
        <x:v>从外在路程转向内在成就。</x:v>
      </x:c>
      <x:c r="K55" s="27" t="str">
        <x:v>待校核原文</x:v>
      </x:c>
      <x:c r="L55" s="27" t="str">
        <x:v>https://zh.wikisource.org/wiki/西游记/第九十八回</x:v>
      </x:c>
      <x:c r="M55" s="27" t="str">
        <x:v>非器物型法宝/仪式。</x:v>
      </x:c>
      <x:c r="N55" s="24"/>
    </x:row>
    <x:row r="56" ht="48" customHeight="1">
      <x:c r="A56" s="27" t="str">
        <x:v>B056</x:v>
      </x:c>
      <x:c r="B56" s="27" t="str">
        <x:v>老鼋落水/补难机制</x:v>
      </x:c>
      <x:c r="C56" s="27" t="str">
        <x:v>第99回</x:v>
      </x:c>
      <x:c r="D56" s="27" t="str">
        <x:v>通天河地方水域/观音难数系统</x:v>
      </x:c>
      <x:c r="E56" s="27" t="str">
        <x:v>老鼋、揭谛、观音系统</x:v>
      </x:c>
      <x:c r="F56" s="27" t="str">
        <x:v>通过回程落水补足八十一难，经卷受湿，难数圆满。</x:v>
      </x:c>
      <x:c r="G56" s="27" t="str">
        <x:v>补难/承诺失信/回程风险</x:v>
      </x:c>
      <x:c r="H56" s="27" t="str">
        <x:v>师徒晒经，完成补难</x:v>
      </x:c>
      <x:c r="I56" s="27" t="str">
        <x:v>经卷保存，难数归圆</x:v>
      </x:c>
      <x:c r="J56" s="27" t="str">
        <x:v>闭环阶段的最后风险验证。</x:v>
      </x:c>
      <x:c r="K56" s="27" t="str">
        <x:v>待校核原文</x:v>
      </x:c>
      <x:c r="L56" s="27" t="str">
        <x:v>https://zh.wikisource.org/wiki/西游记/第九十九回</x:v>
      </x:c>
      <x:c r="M56" s="27" t="str">
        <x:v>与第49回老鼋承载呼应。</x:v>
      </x:c>
      <x:c r="N56" s="24"/>
    </x:row>
    <x:row r="57" ht="48" customHeight="1">
      <x:c r="A57" s="27" t="str">
        <x:v>B057</x:v>
      </x:c>
      <x:c r="B57" s="27" t="str">
        <x:v>紧箍自消/内在自觉</x:v>
      </x:c>
      <x:c r="C57" s="27" t="str">
        <x:v>第100回</x:v>
      </x:c>
      <x:c r="D57" s="27" t="str">
        <x:v>如来封圣系统/孙悟空心性成长</x:v>
      </x:c>
      <x:c r="E57" s="27" t="str">
        <x:v>孙悟空</x:v>
      </x:c>
      <x:c r="F57" s="27" t="str">
        <x:v>成佛后紧箍自然消失，象征外控约束转为内在自觉。</x:v>
      </x:c>
      <x:c r="G57" s="27" t="str">
        <x:v>纪律转化/心性成熟/角色归位</x:v>
      </x:c>
      <x:c r="H57" s="27" t="str">
        <x:v>不需反制</x:v>
      </x:c>
      <x:c r="I57" s="27" t="str">
        <x:v>封斗战胜佛后自然消失</x:v>
      </x:c>
      <x:c r="J57" s="27" t="str">
        <x:v>孙悟空成长线的终局象征。</x:v>
      </x:c>
      <x:c r="K57" s="27" t="str">
        <x:v>待校核原文</x:v>
      </x:c>
      <x:c r="L57" s="27" t="str">
        <x:v>https://zh.wikisource.org/wiki/西游记/第一百回</x:v>
      </x:c>
      <x:c r="M57" s="27" t="str">
        <x:v>适合收官文章。</x:v>
      </x:c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4" hidden="0" customWidth="1"/>
    <x:col min="4" max="4" width="28" hidden="0" customWidth="1"/>
    <x:col min="5" max="5" width="22" hidden="0" customWidth="1"/>
    <x:col min="6" max="6" width="34" hidden="0" customWidth="1"/>
    <x:col min="7" max="7" width="28" hidden="0" customWidth="1"/>
    <x:col min="8" max="8" width="24" hidden="0" customWidth="1"/>
    <x:col min="9" max="9" width="26" hidden="0" customWidth="1"/>
    <x:col min="10" max="10" width="36" hidden="0" customWidth="1"/>
    <x:col min="11" max="11" width="30" hidden="0" customWidth="1"/>
    <x:col min="12" max="12" width="12" hidden="0" customWidth="1"/>
    <x:col min="13" max="13" width="32" hidden="0" customWidth="1"/>
    <x:col min="14" max="14" width="28" hidden="0" customWidth="1"/>
  </x:cols>
  <x:sheetData>
    <x:row r="1" ht="15" hidden="0" customHeight="1">
      <x:c r="A1" s="19" t="str">
        <x:v>编号</x:v>
      </x:c>
      <x:c r="B1" s="19" t="str">
        <x:v>对象</x:v>
      </x:c>
      <x:c r="C1" s="19" t="str">
        <x:v>出现回次</x:v>
      </x:c>
      <x:c r="D1" s="19" t="str">
        <x:v>后台/来源系统</x:v>
      </x:c>
      <x:c r="E1" s="19" t="str">
        <x:v>后台类型</x:v>
      </x:c>
      <x:c r="F1" s="19" t="str">
        <x:v>失控方式</x:v>
      </x:c>
      <x:c r="G1" s="19" t="str">
        <x:v>危害对象</x:v>
      </x:c>
      <x:c r="H1" s="19" t="str">
        <x:v>收束者</x:v>
      </x:c>
      <x:c r="I1" s="19" t="str">
        <x:v>收束方式</x:v>
      </x:c>
      <x:c r="J1" s="19" t="str">
        <x:v>责任边界观察</x:v>
      </x:c>
      <x:c r="K1" s="19" t="str">
        <x:v>专题价值</x:v>
      </x:c>
      <x:c r="L1" s="19" t="str">
        <x:v>证据状态</x:v>
      </x:c>
      <x:c r="M1" s="19" t="str">
        <x:v>来源URL</x:v>
      </x:c>
      <x:c r="N1" s="19" t="str">
        <x:v>备注</x:v>
      </x:c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26.399999618530273" hidden="0" customHeight="1">
      <x:c r="A2" s="27" t="str">
        <x:v>H001</x:v>
      </x:c>
      <x:c r="B2" s="27" t="str">
        <x:v>黄袍怪/奎木狼</x:v>
      </x:c>
      <x:c r="C2" s="27" t="str">
        <x:v>第28—31回</x:v>
      </x:c>
      <x:c r="D2" s="27" t="str">
        <x:v>天庭二十八宿</x:v>
      </x:c>
      <x:c r="E2" s="27" t="str">
        <x:v>天庭星宿下界</x:v>
      </x:c>
      <x:c r="F2" s="27" t="str">
        <x:v>私情下界，占据宝象国公主并制造国家风险。</x:v>
      </x:c>
      <x:c r="G2" s="27" t="str">
        <x:v>唐僧团队、宝象国</x:v>
      </x:c>
      <x:c r="H2" s="27" t="str">
        <x:v>天庭系统/悟空推动</x:v>
      </x:c>
      <x:c r="I2" s="27" t="str">
        <x:v>回归星宿系统</x:v>
      </x:c>
      <x:c r="J2" s="27" t="str">
        <x:v>天庭人员外溢造成下界灾害。</x:v>
      </x:c>
      <x:c r="K2" s="27" t="str">
        <x:v>后台妖怪早期样本</x:v>
      </x:c>
      <x:c r="L2" s="27" t="str">
        <x:v>待校核原文</x:v>
      </x:c>
      <x:c r="M2" s="27" t="str">
        <x:v>https://zh.wikisource.org/wiki/西游记/第三十一回</x:v>
      </x:c>
      <x:c r="N2" s="27" t="str">
        <x:v>已在V0.4入库。</x:v>
      </x:c>
    </x:row>
    <x:row r="3" ht="26.399999618530273" hidden="0" customHeight="1">
      <x:c r="A3" s="27" t="str">
        <x:v>H002</x:v>
      </x:c>
      <x:c r="B3" s="27" t="str">
        <x:v>金角大王、银角大王</x:v>
      </x:c>
      <x:c r="C3" s="27" t="str">
        <x:v>第32—35回</x:v>
      </x:c>
      <x:c r="D3" s="27" t="str">
        <x:v>太上老君</x:v>
      </x:c>
      <x:c r="E3" s="27" t="str">
        <x:v>童子携法宝下界</x:v>
      </x:c>
      <x:c r="F3" s="27" t="str">
        <x:v>携带系统法宝，放大局部风险。</x:v>
      </x:c>
      <x:c r="G3" s="27" t="str">
        <x:v>唐僧团队</x:v>
      </x:c>
      <x:c r="H3" s="27" t="str">
        <x:v>太上老君</x:v>
      </x:c>
      <x:c r="I3" s="27" t="str">
        <x:v>认领并收回童子与法宝</x:v>
      </x:c>
      <x:c r="J3" s="27" t="str">
        <x:v>工具外流比人员外流更危险。</x:v>
      </x:c>
      <x:c r="K3" s="27" t="str">
        <x:v>法宝风险样本</x:v>
      </x:c>
      <x:c r="L3" s="27" t="str">
        <x:v>待校核原文</x:v>
      </x:c>
      <x:c r="M3" s="27" t="str">
        <x:v>https://zh.wikisource.org/wiki/西游记/第三十五回</x:v>
      </x:c>
      <x:c r="N3" s="27" t="str">
        <x:v>V0.5重点。</x:v>
      </x:c>
    </x:row>
    <x:row r="4" ht="26.399999618530273" hidden="0" customHeight="1">
      <x:c r="A4" s="27" t="str">
        <x:v>H003</x:v>
      </x:c>
      <x:c r="B4" s="27" t="str">
        <x:v>青毛狮子/乌鸡国假王</x:v>
      </x:c>
      <x:c r="C4" s="27" t="str">
        <x:v>第36—39回</x:v>
      </x:c>
      <x:c r="D4" s="27" t="str">
        <x:v>文殊菩萨</x:v>
      </x:c>
      <x:c r="E4" s="27" t="str">
        <x:v>坐骑下界/冒名王权</x:v>
      </x:c>
      <x:c r="F4" s="27" t="str">
        <x:v>篡位假王，造成合法性倒置。</x:v>
      </x:c>
      <x:c r="G4" s="27" t="str">
        <x:v>乌鸡国真王、王室、取经团队</x:v>
      </x:c>
      <x:c r="H4" s="27" t="str">
        <x:v>文殊菩萨/老君金丹辅助</x:v>
      </x:c>
      <x:c r="I4" s="27" t="str">
        <x:v>收回坐骑、真王复位</x:v>
      </x:c>
      <x:c r="J4" s="27" t="str">
        <x:v>后台坐骑下界可侵蚀人间王权。</x:v>
      </x:c>
      <x:c r="K4" s="27" t="str">
        <x:v>真假王权样本</x:v>
      </x:c>
      <x:c r="L4" s="27" t="str">
        <x:v>待校核原文</x:v>
      </x:c>
      <x:c r="M4" s="27" t="str">
        <x:v>https://zh.wikisource.org/wiki/西游记/第三十九回</x:v>
      </x:c>
      <x:c r="N4" s="27" t="str">
        <x:v>V0.6重点。</x:v>
      </x:c>
    </x:row>
    <x:row r="5" ht="26.399999618530273" hidden="0" customHeight="1">
      <x:c r="A5" s="27" t="str">
        <x:v>H004</x:v>
      </x:c>
      <x:c r="B5" s="27" t="str">
        <x:v>红孩儿/圣婴大王</x:v>
      </x:c>
      <x:c r="C5" s="27" t="str">
        <x:v>第40—42回</x:v>
      </x:c>
      <x:c r="D5" s="27" t="str">
        <x:v>牛魔王家族，后入观音系统</x:v>
      </x:c>
      <x:c r="E5" s="27" t="str">
        <x:v>家族后台/可收编少年力量</x:v>
      </x:c>
      <x:c r="F5" s="27" t="str">
        <x:v>以婴儿伪装和三昧真火诱捕唐僧、挫败悟空。</x:v>
      </x:c>
      <x:c r="G5" s="27" t="str">
        <x:v>唐僧团队</x:v>
      </x:c>
      <x:c r="H5" s="27" t="str">
        <x:v>观音</x:v>
      </x:c>
      <x:c r="I5" s="27" t="str">
        <x:v>降伏并收为善财童子</x:v>
      </x:c>
      <x:c r="J5" s="27" t="str">
        <x:v>家族势力失管后，可由更高层级宗教系统转化。</x:v>
      </x:c>
      <x:c r="K5" s="27" t="str">
        <x:v>少年化妖与收编样本</x:v>
      </x:c>
      <x:c r="L5" s="27" t="str">
        <x:v>待校核原文</x:v>
      </x:c>
      <x:c r="M5" s="27" t="str">
        <x:v>https://zh.wikisource.org/wiki/西游记/第四十二回</x:v>
      </x:c>
      <x:c r="N5" s="27" t="str">
        <x:v>V0.7重点。</x:v>
      </x:c>
    </x:row>
    <x:row r="6" ht="26.399999618530273" hidden="0" customHeight="1">
      <x:c r="A6" s="27" t="str">
        <x:v>H005</x:v>
      </x:c>
      <x:c r="B6" s="27" t="str">
        <x:v>鼍龙/小鼍龙</x:v>
      </x:c>
      <x:c r="C6" s="27" t="str">
        <x:v>第43回</x:v>
      </x:c>
      <x:c r="D6" s="27" t="str">
        <x:v>西海龙王亲属系统</x:v>
      </x:c>
      <x:c r="E6" s="27" t="str">
        <x:v>亲属后台/水族支系</x:v>
      </x:c>
      <x:c r="F6" s="27" t="str">
        <x:v>占黑水河，设局擒唐僧。</x:v>
      </x:c>
      <x:c r="G6" s="27" t="str">
        <x:v>唐僧团队</x:v>
      </x:c>
      <x:c r="H6" s="27" t="str">
        <x:v>西海龙宫/摩昂太子</x:v>
      </x:c>
      <x:c r="I6" s="27" t="str">
        <x:v>龙宫系统内部收回</x:v>
      </x:c>
      <x:c r="J6" s="27" t="str">
        <x:v>亲属关系中的边缘成员也需治理责任。</x:v>
      </x:c>
      <x:c r="K6" s="27" t="str">
        <x:v>亲属后台样本</x:v>
      </x:c>
      <x:c r="L6" s="27" t="str">
        <x:v>待校核原文</x:v>
      </x:c>
      <x:c r="M6" s="27" t="str">
        <x:v>https://zh.wikisource.org/wiki/西游记/第四十三回</x:v>
      </x:c>
      <x:c r="N6" s="27" t="str">
        <x:v>V0.7新增。</x:v>
      </x:c>
    </x:row>
    <x:row r="7" ht="26.399999618530273" hidden="0" customHeight="1">
      <x:c r="A7" s="27" t="str">
        <x:v>H006</x:v>
      </x:c>
      <x:c r="B7" s="27" t="str">
        <x:v>虎力鹿力羊力大仙</x:v>
      </x:c>
      <x:c r="C7" s="27" t="str">
        <x:v>第44—46回</x:v>
      </x:c>
      <x:c r="D7" s="27" t="str">
        <x:v>车迟国王权授信</x:v>
      </x:c>
      <x:c r="E7" s="27" t="str">
        <x:v>王权庇护/制度寄生</x:v>
      </x:c>
      <x:c r="F7" s="27" t="str">
        <x:v>借国王宠信压制僧人，垄断宗教评价。</x:v>
      </x:c>
      <x:c r="G7" s="27" t="str">
        <x:v>车迟国僧众、唐僧团队</x:v>
      </x:c>
      <x:c r="H7" s="27" t="str">
        <x:v>孙悟空等/车迟国王醒悟</x:v>
      </x:c>
      <x:c r="I7" s="27" t="str">
        <x:v>公开斗法后现形死亡</x:v>
      </x:c>
      <x:c r="J7" s="27" t="str">
        <x:v>错误授权形成制度性庇护。</x:v>
      </x:c>
      <x:c r="K7" s="27" t="str">
        <x:v>伪权威制度寄生样本</x:v>
      </x:c>
      <x:c r="L7" s="27" t="str">
        <x:v>待校核原文</x:v>
      </x:c>
      <x:c r="M7" s="27" t="str">
        <x:v>https://zh.wikisource.org/wiki/西游记/第四十六回</x:v>
      </x:c>
      <x:c r="N7" s="27" t="str">
        <x:v>虽无神佛后台，但有王权庇护。</x:v>
      </x:c>
    </x:row>
    <x:row r="8" ht="26.399999618530273" hidden="0" customHeight="1">
      <x:c r="A8" s="24" t="str">
        <x:v>H007</x:v>
      </x:c>
      <x:c r="B8" s="24" t="str">
        <x:v>灵感大王</x:v>
      </x:c>
      <x:c r="C8" s="24" t="str">
        <x:v>第47—49回</x:v>
      </x:c>
      <x:c r="D8" s="24" t="str">
        <x:v>观音莲池</x:v>
      </x:c>
      <x:c r="E8" s="24" t="str">
        <x:v>佛门/观音系统资源外溢</x:v>
      </x:c>
      <x:c r="F8" s="24" t="str">
        <x:v>金鱼成精下界，在通天河索取童男童女。</x:v>
      </x:c>
      <x:c r="G8" s="24" t="str">
        <x:v>陈家庄百姓、唐僧团队</x:v>
      </x:c>
      <x:c r="H8" s="24" t="str">
        <x:v>观音</x:v>
      </x:c>
      <x:c r="I8" s="24" t="str">
        <x:v>鱼篮收回金鱼</x:v>
      </x:c>
      <x:c r="J8" s="24" t="str">
        <x:v>佛门系统也有外溢风险，后台责任不因善恶系统而免除。</x:v>
      </x:c>
      <x:c r="K8" s="24" t="str">
        <x:v>后台妖怪类型扩展</x:v>
      </x:c>
      <x:c r="L8" s="24" t="str">
        <x:v>待校核原文</x:v>
      </x:c>
      <x:c r="M8" s="24" t="str">
        <x:v>https://zh.wikisource.org/wiki/西游记/第四十九回</x:v>
      </x:c>
      <x:c r="N8" s="24" t="str">
        <x:v>与青毛狮子、金角银角对照。</x:v>
      </x:c>
    </x:row>
    <x:row r="9" ht="26.399999618530273" hidden="0" customHeight="1">
      <x:c r="A9" s="24" t="str">
        <x:v>H008</x:v>
      </x:c>
      <x:c r="B9" s="24" t="str">
        <x:v>独角兕大王/青牛</x:v>
      </x:c>
      <x:c r="C9" s="24" t="str">
        <x:v>第50—52回</x:v>
      </x:c>
      <x:c r="D9" s="24" t="str">
        <x:v>太上老君</x:v>
      </x:c>
      <x:c r="E9" s="24" t="str">
        <x:v>道教/老君坐骑与法宝外溢</x:v>
      </x:c>
      <x:c r="F9" s="24" t="str">
        <x:v>青牛下界，携金刚琢压制诸神兵器。</x:v>
      </x:c>
      <x:c r="G9" s="24" t="str">
        <x:v>唐僧团队、天庭救援系统</x:v>
      </x:c>
      <x:c r="H9" s="24" t="str">
        <x:v>太上老君</x:v>
      </x:c>
      <x:c r="I9" s="24" t="str">
        <x:v>收回青牛与金刚琢</x:v>
      </x:c>
      <x:c r="J9" s="24" t="str">
        <x:v>系统资源外流后，现场处置成本极高。</x:v>
      </x:c>
      <x:c r="K9" s="24" t="str">
        <x:v>工具权力风险样本</x:v>
      </x:c>
      <x:c r="L9" s="24" t="str">
        <x:v>待校核原文</x:v>
      </x:c>
      <x:c r="M9" s="24" t="str">
        <x:v>https://zh.wikisource.org/wiki/西游记/第五十二回</x:v>
      </x:c>
      <x:c r="N9" s="24" t="str">
        <x:v>与平顶山形成老君系统二次外溢。</x:v>
      </x:c>
    </x:row>
    <x:row r="10" ht="26.399999618530273" hidden="0" customHeight="1">
      <x:c r="A10" s="24" t="str">
        <x:v>H008</x:v>
      </x:c>
      <x:c r="B10" s="24" t="str">
        <x:v>蝎子精</x:v>
      </x:c>
      <x:c r="C10" s="24" t="str">
        <x:v>第55回</x:v>
      </x:c>
      <x:c r="D10" s="24" t="str">
        <x:v>曾近佛门听经场域/克星属天庭星官</x:v>
      </x:c>
      <x:c r="E10" s="24" t="str">
        <x:v>非典型后台，高危异能与专业克制</x:v>
      </x:c>
      <x:c r="F10" s="24" t="str">
        <x:v>摄取唐僧，毒伤悟空八戒。</x:v>
      </x:c>
      <x:c r="G10" s="24" t="str">
        <x:v>唐僧团队</x:v>
      </x:c>
      <x:c r="H10" s="24" t="str">
        <x:v>昴日星官</x:v>
      </x:c>
      <x:c r="I10" s="24" t="str">
        <x:v>天敌克制降伏</x:v>
      </x:c>
      <x:c r="J10" s="24" t="str">
        <x:v>不一定有后台，但有特殊履历与特殊克制链。</x:v>
      </x:c>
      <x:c r="K10" s="24" t="str">
        <x:v>女性妖怪与专业克制样本</x:v>
      </x:c>
      <x:c r="L10" s="24" t="str">
        <x:v>待校核原文</x:v>
      </x:c>
      <x:c r="M10" s="24" t="str">
        <x:v>https://zh.wikisource.org/wiki/西游记/第五十五回</x:v>
      </x:c>
      <x:c r="N10" s="24" t="str">
        <x:v>需校核其与如来讲经情节细节。</x:v>
      </x:c>
    </x:row>
    <x:row r="11" ht="26.399999618530273" hidden="0" customHeight="1">
      <x:c r="A11" s="24" t="str">
        <x:v>H009</x:v>
      </x:c>
      <x:c r="B11" s="24" t="str">
        <x:v>六耳猕猴</x:v>
      </x:c>
      <x:c r="C11" s="24" t="str">
        <x:v>第57—58回</x:v>
      </x:c>
      <x:c r="D11" s="24" t="str">
        <x:v>无明确后台/如来识别其类属</x:v>
      </x:c>
      <x:c r="E11" s="24" t="str">
        <x:v>无后台但具同形复制能力</x:v>
      </x:c>
      <x:c r="F11" s="24" t="str">
        <x:v>冒充悟空，扰乱取经班底与身份秩序。</x:v>
      </x:c>
      <x:c r="G11" s="24" t="str">
        <x:v>取经团队、心猿秩序</x:v>
      </x:c>
      <x:c r="H11" s="24" t="str">
        <x:v>如来</x:v>
      </x:c>
      <x:c r="I11" s="24" t="str">
        <x:v>识破本相，悟空击杀</x:v>
      </x:c>
      <x:c r="J11" s="24" t="str">
        <x:v>无后台不等于低风险；身份复制本身就是高阶风险。</x:v>
      </x:c>
      <x:c r="K11" s="24" t="str">
        <x:v>二心与身份危机样本</x:v>
      </x:c>
      <x:c r="L11" s="24" t="str">
        <x:v>待校核原文</x:v>
      </x:c>
      <x:c r="M11" s="24" t="str">
        <x:v>https://zh.wikisource.org/wiki/西游记/第五十八回</x:v>
      </x:c>
      <x:c r="N11" s="24" t="str">
        <x:v>后台表中作“非后台高风险”对照项。</x:v>
      </x:c>
    </x:row>
    <x:row r="12" ht="26.399999618530273" hidden="0" customHeight="1">
      <x:c r="A12" s="24" t="str">
        <x:v>H010</x:v>
      </x:c>
      <x:c r="B12" s="24" t="str">
        <x:v>如意真仙</x:v>
      </x:c>
      <x:c r="C12" s="24" t="str">
        <x:v>第53回</x:v>
      </x:c>
      <x:c r="D12" s="24" t="str">
        <x:v>牛魔王亲属链/解阳山资源节点</x:v>
      </x:c>
      <x:c r="E12" s="24" t="str">
        <x:v>亲属关联/资源把守</x:v>
      </x:c>
      <x:c r="F12" s="24" t="str">
        <x:v>控制落胎泉资源，阻滞救援。</x:v>
      </x:c>
      <x:c r="G12" s="24" t="str">
        <x:v>唐僧、八戒</x:v>
      </x:c>
      <x:c r="H12" s="24" t="str">
        <x:v>孙悟空</x:v>
      </x:c>
      <x:c r="I12" s="24" t="str">
        <x:v>夺取/求取泉水解厄</x:v>
      </x:c>
      <x:c r="J12" s="24" t="str">
        <x:v>关键资源被地方小系统把守，会放大危机。</x:v>
      </x:c>
      <x:c r="K12" s="24" t="str">
        <x:v>资源后台/关键节点样本</x:v>
      </x:c>
      <x:c r="L12" s="24" t="str">
        <x:v>待校核原文</x:v>
      </x:c>
      <x:c r="M12" s="24" t="str">
        <x:v>https://zh.wikisource.org/wiki/西游记/第五十三回</x:v>
      </x:c>
      <x:c r="N12" s="24" t="str">
        <x:v>与牛魔王家族链条可后续补强。</x:v>
      </x:c>
    </x:row>
    <x:row r="13" ht="39.599998474121094" hidden="0" customHeight="1">
      <x:c r="A13" s="27" t="str">
        <x:v>H011</x:v>
      </x:c>
      <x:c r="B13" s="27" t="str">
        <x:v>铁扇公主/罗刹女</x:v>
      </x:c>
      <x:c r="C13" s="27" t="str">
        <x:v>第59—61回</x:v>
      </x:c>
      <x:c r="D13" s="27" t="str">
        <x:v>牛魔王家族/芭蕉洞资源系统</x:v>
      </x:c>
      <x:c r="E13" s="27" t="str">
        <x:v>家族后台/关键资源持有者</x:v>
      </x:c>
      <x:c r="F13" s="27" t="str">
        <x:v>因红孩儿旧怨拒借芭蕉扇，阻断取经路线。</x:v>
      </x:c>
      <x:c r="G13" s="27" t="str">
        <x:v>唐僧团队、火焰山通行</x:v>
      </x:c>
      <x:c r="H13" s="27" t="str">
        <x:v>孙悟空、八戒、天庭外援间接协同</x:v>
      </x:c>
      <x:c r="I13" s="27" t="str">
        <x:v>三调芭蕉扇，取得真扇灭火后归还</x:v>
      </x:c>
      <x:c r="J13" s="27" t="str">
        <x:v>后台不一定体现为上级神佛，也可能体现为家族关系和资源控制。</x:v>
      </x:c>
      <x:c r="K13" s="27" t="str">
        <x:v>关键资源型后台样本</x:v>
      </x:c>
      <x:c r="L13" s="27" t="str">
        <x:v>待校核原文</x:v>
      </x:c>
      <x:c r="M13" s="27" t="str">
        <x:v>https://zh.wikisource.org/wiki/西游记/第五十九回</x:v>
      </x:c>
      <x:c r="N13" s="27" t="str">
        <x:v>与红孩儿、如意真仙、牛魔王构成家族链。</x:v>
      </x:c>
    </x:row>
    <x:row r="14" ht="26.399999618530273" hidden="0" customHeight="1">
      <x:c r="A14" s="27" t="str">
        <x:v>H012</x:v>
      </x:c>
      <x:c r="B14" s="27" t="str">
        <x:v>牛魔王</x:v>
      </x:c>
      <x:c r="C14" s="27" t="str">
        <x:v>第60—61回</x:v>
      </x:c>
      <x:c r="D14" s="27" t="str">
        <x:v>牛魔王家族/积雷山摩云洞</x:v>
      </x:c>
      <x:c r="E14" s="27" t="str">
        <x:v>家族势力核心/旧交关系</x:v>
      </x:c>
      <x:c r="F14" s="27" t="str">
        <x:v>以武力与关系网络介入芭蕉扇争夺，延长火焰山瓶颈。</x:v>
      </x:c>
      <x:c r="G14" s="27" t="str">
        <x:v>唐僧团队、火焰山通行</x:v>
      </x:c>
      <x:c r="H14" s="27" t="str">
        <x:v>孙悟空、八戒、哪吒、托塔天王等</x:v>
      </x:c>
      <x:c r="I14" s="27" t="str">
        <x:v>多方合围降伏</x:v>
      </x:c>
      <x:c r="J14" s="27" t="str">
        <x:v>高能力妖王兼具旧交、家族、资源链，是复合型后台风险核心。</x:v>
      </x:c>
      <x:c r="K14" s="27" t="str">
        <x:v>家族链后台核心样本</x:v>
      </x:c>
      <x:c r="L14" s="27" t="str">
        <x:v>待校核原文</x:v>
      </x:c>
      <x:c r="M14" s="27" t="str">
        <x:v>https://zh.wikisource.org/wiki/西游记/第六十一回</x:v>
      </x:c>
      <x:c r="N14" s="27" t="str">
        <x:v>与前期红孩儿段构成父子链。</x:v>
      </x:c>
    </x:row>
    <x:row r="15" ht="26.399999618530273" hidden="0" customHeight="1">
      <x:c r="A15" s="24" t="str">
        <x:v>H015</x:v>
      </x:c>
      <x:c r="B15" s="24" t="str">
        <x:v>九头虫/万圣龙宫联盟</x:v>
      </x:c>
      <x:c r="C15" s="24" t="str">
        <x:v>第62—63回</x:v>
      </x:c>
      <x:c r="D15" s="24" t="str">
        <x:v>碧波潭地方龙宫及妖怪联盟</x:v>
      </x:c>
      <x:c r="E15" s="24" t="str">
        <x:v>地方势力联盟/非正统后台</x:v>
      </x:c>
      <x:c r="F15" s="24" t="str">
        <x:v>盗取佛宝，嫁祸寺僧，形成跨系统冤案。</x:v>
      </x:c>
      <x:c r="G15" s="24" t="str">
        <x:v>祭赛国、金光寺僧、取经团队</x:v>
      </x:c>
      <x:c r="H15" s="24" t="str">
        <x:v>悟空、八戒、二郎神等</x:v>
      </x:c>
      <x:c r="I15" s="24" t="str">
        <x:v>协同追赃除邪</x:v>
      </x:c>
      <x:c r="J15" s="24" t="str">
        <x:v>地方龙族与妖怪结盟，使普通盗宝变成跨系统风险。</x:v>
      </x:c>
      <x:c r="K15" s="24" t="str">
        <x:v>联盟妖怪样本</x:v>
      </x:c>
      <x:c r="L15" s="24" t="str">
        <x:v>待校核原文</x:v>
      </x:c>
      <x:c r="M15" s="24" t="str">
        <x:v>https://zh.wikisource.org/wiki/西游记/第六十三回</x:v>
      </x:c>
      <x:c r="N15" s="24" t="str">
        <x:v>与牛魔王家族链可对照。</x:v>
      </x:c>
    </x:row>
    <x:row r="16" ht="26.399999618530273" hidden="0" customHeight="1">
      <x:c r="A16" s="24" t="str">
        <x:v>H016</x:v>
      </x:c>
      <x:c r="B16" s="24" t="str">
        <x:v>黄眉老怪</x:v>
      </x:c>
      <x:c r="C16" s="24" t="str">
        <x:v>第65—66回</x:v>
      </x:c>
      <x:c r="D16" s="24" t="str">
        <x:v>弥勒佛系统</x:v>
      </x:c>
      <x:c r="E16" s="24" t="str">
        <x:v>司磬童子携法宝下界</x:v>
      </x:c>
      <x:c r="F16" s="24" t="str">
        <x:v>假设小雷音，借佛门形象骗取信任，并用法宝困人。</x:v>
      </x:c>
      <x:c r="G16" s="24" t="str">
        <x:v>唐僧团队、诸神救援系统</x:v>
      </x:c>
      <x:c r="H16" s="24" t="str">
        <x:v>弥勒佛</x:v>
      </x:c>
      <x:c r="I16" s="24" t="str">
        <x:v>源头收束，设法收伏</x:v>
      </x:c>
      <x:c r="J16" s="24" t="str">
        <x:v>后台妖怪中最典型的‘假权威+法宝外流’样本。</x:v>
      </x:c>
      <x:c r="K16" s="24" t="str">
        <x:v>伪权威与工具外流样本</x:v>
      </x:c>
      <x:c r="L16" s="24" t="str">
        <x:v>待校核原文</x:v>
      </x:c>
      <x:c r="M16" s="24" t="str">
        <x:v>https://zh.wikisource.org/wiki/西游记/第六十六回</x:v>
      </x:c>
      <x:c r="N16" s="24" t="str">
        <x:v>V1.1重点。</x:v>
      </x:c>
    </x:row>
    <x:row r="17" ht="26.399999618530273" hidden="0" customHeight="1">
      <x:c r="A17" s="24" t="str">
        <x:v>H014</x:v>
      </x:c>
      <x:c r="B17" s="24" t="str">
        <x:v>赛太岁/金毛犼</x:v>
      </x:c>
      <x:c r="C17" s="24" t="str">
        <x:v>第69—71回</x:v>
      </x:c>
      <x:c r="D17" s="24" t="str">
        <x:v>观音坐骑系统</x:v>
      </x:c>
      <x:c r="E17" s="24" t="str">
        <x:v>佛门/观音坐骑</x:v>
      </x:c>
      <x:c r="F17" s="24" t="str">
        <x:v>下界为妖，掳金圣宫，持紫金铃长期扰乱朱紫国。</x:v>
      </x:c>
      <x:c r="G17" s="24" t="str">
        <x:v>朱紫国王、金圣宫、唐僧团队</x:v>
      </x:c>
      <x:c r="H17" s="24" t="str">
        <x:v>观音</x:v>
      </x:c>
      <x:c r="I17" s="24" t="str">
        <x:v>观音现身认领并收回金毛犼</x:v>
      </x:c>
      <x:c r="J17" s="24" t="str">
        <x:v>后台坐骑失控造成长期人间损害，原系统必须最终收束。</x:v>
      </x:c>
      <x:c r="K17" s="24" t="str">
        <x:v>后台坐骑与法宝外溢典型样本</x:v>
      </x:c>
      <x:c r="L17" s="24" t="str">
        <x:v>待校核原文</x:v>
      </x:c>
      <x:c r="M17" s="24" t="str">
        <x:v>https://zh.wikisource.org/wiki/西游记/第七十一回</x:v>
      </x:c>
      <x:c r="N17" s="24" t="str">
        <x:v>V1.2重点。</x:v>
      </x:c>
    </x:row>
    <x:row r="18">
      <x:c r="A18" s="27" t="str">
        <x:v>H017</x:v>
      </x:c>
      <x:c r="B18" s="27" t="str">
        <x:v>蜘蛛精</x:v>
      </x:c>
      <x:c r="C18" s="27" t="str">
        <x:v>第72—73回</x:v>
      </x:c>
      <x:c r="D18" s="27" t="str">
        <x:v>盘丝洞地方妖怪</x:v>
      </x:c>
      <x:c r="E18" s="27" t="str">
        <x:v>非典型后台/地方群体</x:v>
      </x:c>
      <x:c r="F18" s="27" t="str">
        <x:v>以情境诱导与蛛丝缠缚制造风险。</x:v>
      </x:c>
      <x:c r="G18" s="27" t="str">
        <x:v>唐僧、八戒</x:v>
      </x:c>
      <x:c r="H18" s="27" t="str">
        <x:v>悟空</x:v>
      </x:c>
      <x:c r="I18" s="27" t="str">
        <x:v>识破并清剿</x:v>
      </x:c>
      <x:c r="J18" s="27" t="str">
        <x:v>无明确高层后台，但具备群体协同和关系链风险。</x:v>
      </x:c>
      <x:c r="K18" s="27" t="str">
        <x:v>女性妖怪群像/欲望风险</x:v>
      </x:c>
      <x:c r="L18" s="27" t="str">
        <x:v>待校核原文</x:v>
      </x:c>
      <x:c r="M18" s="27" t="str">
        <x:v>https://zh.wikisource.org/wiki/西游记/第72回</x:v>
      </x:c>
      <x:c r="N18" s="27" t="str">
        <x:v>作为非后台妖怪对照样本。</x:v>
      </x:c>
    </x:row>
    <x:row r="19">
      <x:c r="A19" s="27" t="str">
        <x:v>H018</x:v>
      </x:c>
      <x:c r="B19" s="27" t="str">
        <x:v>蜈蚣精/多目怪</x:v>
      </x:c>
      <x:c r="C19" s="27" t="str">
        <x:v>第73回</x:v>
      </x:c>
      <x:c r="D19" s="27" t="str">
        <x:v>黄花观/与蜘蛛精相关</x:v>
      </x:c>
      <x:c r="E19" s="27" t="str">
        <x:v>非典型后台/旧怨关系链</x:v>
      </x:c>
      <x:c r="F19" s="27" t="str">
        <x:v>以毒茶和金光毒眼克制取经团队。</x:v>
      </x:c>
      <x:c r="G19" s="27" t="str">
        <x:v>唐僧团队、悟空</x:v>
      </x:c>
      <x:c r="H19" s="27" t="str">
        <x:v>毗蓝婆菩萨</x:v>
      </x:c>
      <x:c r="I19" s="27" t="str">
        <x:v>专家破法</x:v>
      </x:c>
      <x:c r="J19" s="27" t="str">
        <x:v>没有清晰后台，但能力高度专业化，显示非后台妖怪也可能构成高危。</x:v>
      </x:c>
      <x:c r="K19" s="27" t="str">
        <x:v>外部专家救援样本</x:v>
      </x:c>
      <x:c r="L19" s="27" t="str">
        <x:v>待校核原文</x:v>
      </x:c>
      <x:c r="M19" s="27" t="str">
        <x:v>https://zh.wikisource.org/wiki/西游记/第73回</x:v>
      </x:c>
      <x:c r="N19" s="27" t="str">
        <x:v>与有后台妖怪形成风险类型对照。</x:v>
      </x:c>
    </x:row>
    <x:row r="20">
      <x:c r="A20" s="27" t="str">
        <x:v>H019</x:v>
      </x:c>
      <x:c r="B20" s="27" t="str">
        <x:v>青狮精/青毛狮子</x:v>
      </x:c>
      <x:c r="C20" s="27" t="str">
        <x:v>第74—77回</x:v>
      </x:c>
      <x:c r="D20" s="27" t="str">
        <x:v>文殊菩萨坐骑系统</x:v>
      </x:c>
      <x:c r="E20" s="27" t="str">
        <x:v>佛门坐骑后台</x:v>
      </x:c>
      <x:c r="F20" s="27" t="str">
        <x:v>与白象、大鹏组成三魔集团，盘踞狮驼岭。</x:v>
      </x:c>
      <x:c r="G20" s="27" t="str">
        <x:v>唐僧团队、狮驼国人间秩序</x:v>
      </x:c>
      <x:c r="H20" s="27" t="str">
        <x:v>文殊菩萨</x:v>
      </x:c>
      <x:c r="I20" s="27" t="str">
        <x:v>认领并收回坐骑</x:v>
      </x:c>
      <x:c r="J20" s="27" t="str">
        <x:v>后台坐骑重复失控，显示系统内部约束问题。</x:v>
      </x:c>
      <x:c r="K20" s="27" t="str">
        <x:v>后台坐骑样本/集团化风险</x:v>
      </x:c>
      <x:c r="L20" s="27" t="str">
        <x:v>待校核原文</x:v>
      </x:c>
      <x:c r="M20" s="27" t="str">
        <x:v>https://zh.wikisource.org/wiki/西游记/第七十七回</x:v>
      </x:c>
      <x:c r="N20" s="27" t="str">
        <x:v>需与乌鸡国青毛狮子进行考据对照。</x:v>
      </x:c>
    </x:row>
    <x:row r="21">
      <x:c r="A21" s="27" t="str">
        <x:v>H020</x:v>
      </x:c>
      <x:c r="B21" s="27" t="str">
        <x:v>白象精/黄牙老象</x:v>
      </x:c>
      <x:c r="C21" s="27" t="str">
        <x:v>第74—77回</x:v>
      </x:c>
      <x:c r="D21" s="27" t="str">
        <x:v>普贤菩萨坐骑系统</x:v>
      </x:c>
      <x:c r="E21" s="27" t="str">
        <x:v>佛门坐骑后台</x:v>
      </x:c>
      <x:c r="F21" s="27" t="str">
        <x:v>参与三魔集团，形成强力阻路与区域控制。</x:v>
      </x:c>
      <x:c r="G21" s="27" t="str">
        <x:v>唐僧团队、狮驼国人间秩序</x:v>
      </x:c>
      <x:c r="H21" s="27" t="str">
        <x:v>普贤菩萨</x:v>
      </x:c>
      <x:c r="I21" s="27" t="str">
        <x:v>认领并收回坐骑</x:v>
      </x:c>
      <x:c r="J21" s="27" t="str">
        <x:v>后台坐骑失控并非孤例，需看系统性约束。</x:v>
      </x:c>
      <x:c r="K21" s="27" t="str">
        <x:v>后台坐骑样本/集团化风险</x:v>
      </x:c>
      <x:c r="L21" s="27" t="str">
        <x:v>待校核原文</x:v>
      </x:c>
      <x:c r="M21" s="27" t="str">
        <x:v>https://zh.wikisource.org/wiki/西游记/第七十七回</x:v>
      </x:c>
      <x:c r="N21" s="27" t="str">
        <x:v>与青狮并列。</x:v>
      </x:c>
    </x:row>
    <x:row r="22">
      <x:c r="A22" s="27" t="str">
        <x:v>H021</x:v>
      </x:c>
      <x:c r="B22" s="27" t="str">
        <x:v>大鹏金翅雕</x:v>
      </x:c>
      <x:c r="C22" s="27" t="str">
        <x:v>第74—77回</x:v>
      </x:c>
      <x:c r="D22" s="27" t="str">
        <x:v>如来相关系统/特殊亲缘关系</x:v>
      </x:c>
      <x:c r="E22" s="27" t="str">
        <x:v>强后台/特殊关系对象</x:v>
      </x:c>
      <x:c r="F22" s="27" t="str">
        <x:v>参与三魔集团，风险极高，普通神佛难以收束。</x:v>
      </x:c>
      <x:c r="G22" s="27" t="str">
        <x:v>唐僧团队、狮驼国人间秩序</x:v>
      </x:c>
      <x:c r="H22" s="27" t="str">
        <x:v>如来佛祖</x:v>
      </x:c>
      <x:c r="I22" s="27" t="str">
        <x:v>如来亲自收伏</x:v>
      </x:c>
      <x:c r="J22" s="27" t="str">
        <x:v>当后台关系过深，风险收束只能上升到最高层级。</x:v>
      </x:c>
      <x:c r="K22" s="27" t="str">
        <x:v>后台边界高峰样本</x:v>
      </x:c>
      <x:c r="L22" s="27" t="str">
        <x:v>待校核原文</x:v>
      </x:c>
      <x:c r="M22" s="27" t="str">
        <x:v>https://zh.wikisource.org/wiki/西游记/第七十七回</x:v>
      </x:c>
      <x:c r="N22" s="27" t="str">
        <x:v>狮驼岭后台研究的核心对象。</x:v>
      </x:c>
    </x:row>
    <x:row r="23">
      <x:c r="A23" s="24" t="str">
        <x:v>H023</x:v>
      </x:c>
      <x:c r="B23" s="24" t="str">
        <x:v>白鹿精/比丘国国丈</x:v>
      </x:c>
      <x:c r="C23" s="24" t="str">
        <x:v>第78—79回</x:v>
      </x:c>
      <x:c r="D23" s="24" t="str">
        <x:v>南极老人/寿星系统</x:v>
      </x:c>
      <x:c r="E23" s="24" t="str">
        <x:v>坐骑后台</x:v>
      </x:c>
      <x:c r="F23" s="24" t="str">
        <x:v>白鹿下界伪作国丈，以长生药方蛊惑国王。</x:v>
      </x:c>
      <x:c r="G23" s="24" t="str">
        <x:v>比丘国儿童、王权系统</x:v>
      </x:c>
      <x:c r="H23" s="24" t="str">
        <x:v>南极老人</x:v>
      </x:c>
      <x:c r="I23" s="24" t="str">
        <x:v>出面认领并收回白鹿</x:v>
      </x:c>
      <x:c r="J23" s="24" t="str">
        <x:v>坐骑失管进入朝堂，后台收回不等于前端无责。</x:v>
      </x:c>
      <x:c r="K23" s="24" t="str">
        <x:v>儿童保护与王权失序典型</x:v>
      </x:c>
      <x:c r="L23" s="24" t="str">
        <x:v>待校核原文</x:v>
      </x:c>
      <x:c r="M23" s="24" t="str">
        <x:v>https://zh.wikisource.org/wiki/西游记/第七十九回</x:v>
      </x:c>
      <x:c r="N23" s="24" t="str">
        <x:v>与青毛狮子、金毛犼并列。</x:v>
      </x:c>
    </x:row>
    <x:row r="24">
      <x:c r="A24" s="24" t="str">
        <x:v>H024</x:v>
      </x:c>
      <x:c r="B24" s="24" t="str">
        <x:v>狐狸精/美后</x:v>
      </x:c>
      <x:c r="C24" s="24" t="str">
        <x:v>第78—79回</x:v>
      </x:c>
      <x:c r="D24" s="24" t="str">
        <x:v>未明/白鹿精同党</x:v>
      </x:c>
      <x:c r="E24" s="24" t="str">
        <x:v>宫廷同谋/色欲后台弱</x:v>
      </x:c>
      <x:c r="F24" s="24" t="str">
        <x:v>以美后身份迷惑国王，与国丈共同造成害童风险。</x:v>
      </x:c>
      <x:c r="G24" s="24" t="str">
        <x:v>比丘国王、儿童</x:v>
      </x:c>
      <x:c r="H24" s="24" t="str">
        <x:v>孙悟空</x:v>
      </x:c>
      <x:c r="I24" s="24" t="str">
        <x:v>被除灭</x:v>
      </x:c>
      <x:c r="J24" s="24" t="str">
        <x:v>虽无明确高层后台，但借宫廷身份嵌入权力结构。</x:v>
      </x:c>
      <x:c r="K24" s="24" t="str">
        <x:v>宫廷妖邪样本</x:v>
      </x:c>
      <x:c r="L24" s="24" t="str">
        <x:v>待校核原文</x:v>
      </x:c>
      <x:c r="M24" s="24" t="str">
        <x:v>https://zh.wikisource.org/wiki/西游记/第七十九回</x:v>
      </x:c>
      <x:c r="N24" s="24" t="str">
        <x:v>可作为非典型后台。</x:v>
      </x:c>
    </x:row>
    <x:row r="25">
      <x:c r="A25" s="24" t="str">
        <x:v>H025</x:v>
      </x:c>
      <x:c r="B25" s="24" t="str">
        <x:v>地涌夫人/金鼻白毛老鼠精</x:v>
      </x:c>
      <x:c r="C25" s="24" t="str">
        <x:v>第80—83回</x:v>
      </x:c>
      <x:c r="D25" s="24" t="str">
        <x:v>托塔天王、哪吒关系链</x:v>
      </x:c>
      <x:c r="E25" s="24" t="str">
        <x:v>义亲/供奉关系后台</x:v>
      </x:c>
      <x:c r="F25" s="24" t="str">
        <x:v>以女子身份诱摄唐僧入无底洞，牵出天庭义亲关系。</x:v>
      </x:c>
      <x:c r="G25" s="24" t="str">
        <x:v>唐僧团队</x:v>
      </x:c>
      <x:c r="H25" s="24" t="str">
        <x:v>托塔天王、哪吒协同</x:v>
      </x:c>
      <x:c r="I25" s="24" t="str">
        <x:v>后台关系人出面收束</x:v>
      </x:c>
      <x:c r="J25" s="24" t="str">
        <x:v>后台不仅是坐骑、童子、法宝，也可能是义亲、供奉、旧恩关系。</x:v>
      </x:c>
      <x:c r="K25" s="24" t="str">
        <x:v>后台类型扩展样本</x:v>
      </x:c>
      <x:c r="L25" s="24" t="str">
        <x:v>待校核原文</x:v>
      </x:c>
      <x:c r="M25" s="24" t="str">
        <x:v>https://zh.wikisource.org/wiki/西游记/第八十三回</x:v>
      </x:c>
      <x:c r="N25" s="24" t="str">
        <x:v>V1.5核心。</x:v>
      </x:c>
    </x:row>
    <x:row r="26">
      <x:c r="A26" s="24" t="str">
        <x:v>H026</x:v>
      </x:c>
      <x:c r="B26" s="24" t="str">
        <x:v>南山大王/豹子精</x:v>
      </x:c>
      <x:c r="C26" s="24" t="str">
        <x:v>第85—86回</x:v>
      </x:c>
      <x:c r="D26" s="24" t="str">
        <x:v>无明确高层后台/隐雾山地方妖怪</x:v>
      </x:c>
      <x:c r="E26" s="24" t="str">
        <x:v>非后台/地方山林妖怪</x:v>
      </x:c>
      <x:c r="F26" s="24" t="str">
        <x:v>凭地形、诱捕和小妖执行网络擒唐僧。</x:v>
      </x:c>
      <x:c r="G26" s="24" t="str">
        <x:v>唐僧团队</x:v>
      </x:c>
      <x:c r="H26" s="24" t="str">
        <x:v>孙悟空、猪八戒</x:v>
      </x:c>
      <x:c r="I26" s="24" t="str">
        <x:v>团队协同灭除</x:v>
      </x:c>
      <x:c r="J26" s="24" t="str">
        <x:v>无后台并不等于低风险，普通妖怪也需要纳入风险图谱。</x:v>
      </x:c>
      <x:c r="K26" s="24" t="str">
        <x:v>非后台对照样本</x:v>
      </x:c>
      <x:c r="L26" s="24" t="str">
        <x:v>待校核原文</x:v>
      </x:c>
      <x:c r="M26" s="24" t="str">
        <x:v>https://zh.wikisource.org/wiki/西游记/第八十六回</x:v>
      </x:c>
      <x:c r="N26" s="24" t="str">
        <x:v>与金角银角、青狮白象大鹏等后台型样本对照。</x:v>
      </x:c>
    </x:row>
    <x:row r="27">
      <x:c r="A27" s="24" t="str">
        <x:v>H027</x:v>
      </x:c>
      <x:c r="B27" s="24" t="str">
        <x:v>灭法国王</x:v>
      </x:c>
      <x:c r="C27" s="24" t="str">
        <x:v>第84回</x:v>
      </x:c>
      <x:c r="D27" s="24" t="str">
        <x:v>人间王权系统</x:v>
      </x:c>
      <x:c r="E27" s="24" t="str">
        <x:v>非妖怪/制度风险</x:v>
      </x:c>
      <x:c r="F27" s="24" t="str">
        <x:v>以灭僧政令制造身份风险。</x:v>
      </x:c>
      <x:c r="G27" s="24" t="str">
        <x:v>唐僧团队、境内僧侣</x:v>
      </x:c>
      <x:c r="H27" s="24" t="str">
        <x:v>孙悟空</x:v>
      </x:c>
      <x:c r="I27" s="24" t="str">
        <x:v>剃发反转，推动改心更名</x:v>
      </x:c>
      <x:c r="J27" s="24" t="str">
        <x:v>后台妖怪表外应设‘非妖之难/制度风险’对照项。</x:v>
      </x:c>
      <x:c r="K27" s="24" t="str">
        <x:v>非妖之难对照样本</x:v>
      </x:c>
      <x:c r="L27" s="24" t="str">
        <x:v>待校核原文</x:v>
      </x:c>
      <x:c r="M27" s="24" t="str">
        <x:v>https://zh.wikisource.org/wiki/西游记/第八十四回</x:v>
      </x:c>
      <x:c r="N27" s="24" t="str">
        <x:v>严格说不是后台妖怪，作为对照对象。</x:v>
      </x:c>
    </x:row>
    <x:row r="28">
      <x:c r="A28" s="27" t="str">
        <x:v>H028</x:v>
      </x:c>
      <x:c r="B28" s="27" t="str">
        <x:v>黄狮精</x:v>
      </x:c>
      <x:c r="C28" s="27" t="str">
        <x:v>第89—90回</x:v>
      </x:c>
      <x:c r="D28" s="27" t="str">
        <x:v>九灵元圣体系下游/豹头山地方妖怪</x:v>
      </x:c>
      <x:c r="E28" s="27" t="str">
        <x:v>弱后台/下游关联</x:v>
      </x:c>
      <x:c r="F28" s="27" t="str">
        <x:v>盗取三徒兵器并设钉钯宴，引发后续九灵元圣风险。</x:v>
      </x:c>
      <x:c r="G28" s="27" t="str">
        <x:v>取经团队、玉华州传艺系统</x:v>
      </x:c>
      <x:c r="H28" s="27" t="str">
        <x:v>孙悟空、猪八戒、沙僧；后续牵出九灵元圣</x:v>
      </x:c>
      <x:c r="I28" s="27" t="str">
        <x:v>潜入夺器、追击收束</x:v>
      </x:c>
      <x:c r="J28" s="27" t="str">
        <x:v>前端小妖虽未必是强后台核心，却可能连接更深后台网络。</x:v>
      </x:c>
      <x:c r="K28" s="27" t="str">
        <x:v>资源盗取与后台升级样本</x:v>
      </x:c>
      <x:c r="L28" s="27" t="str">
        <x:v>待校核原文</x:v>
      </x:c>
      <x:c r="M28" s="27" t="str">
        <x:v>https://zh.wikisource.org/wiki/西游记/第八十九回</x:v>
      </x:c>
      <x:c r="N28" s="27" t="str">
        <x:v>与九灵元圣联动研究。</x:v>
      </x:c>
    </x:row>
    <x:row r="29">
      <x:c r="A29" s="27" t="str">
        <x:v>H029</x:v>
      </x:c>
      <x:c r="B29" s="27" t="str">
        <x:v>九灵元圣/九头狮子</x:v>
      </x:c>
      <x:c r="C29" s="27" t="str">
        <x:v>第90回</x:v>
      </x:c>
      <x:c r="D29" s="27" t="str">
        <x:v>太乙救苦天尊系统</x:v>
      </x:c>
      <x:c r="E29" s="27" t="str">
        <x:v>高阶坐骑后台</x:v>
      </x:c>
      <x:c r="F29" s="27" t="str">
        <x:v>坐镇九曲盘桓洞，牵出黄狮精事件背后的高阶风险。</x:v>
      </x:c>
      <x:c r="G29" s="27" t="str">
        <x:v>唐僧团队、玉华州王子、地方秩序</x:v>
      </x:c>
      <x:c r="H29" s="27" t="str">
        <x:v>太乙救苦天尊</x:v>
      </x:c>
      <x:c r="I29" s="27" t="str">
        <x:v>天尊亲自收回九头狮子</x:v>
      </x:c>
      <x:c r="J29" s="27" t="str">
        <x:v>高阶后台风险不能靠前端处置闭环，必须由所属系统收束。</x:v>
      </x:c>
      <x:c r="K29" s="27" t="str">
        <x:v>后台妖怪高阶样本</x:v>
      </x:c>
      <x:c r="L29" s="27" t="str">
        <x:v>待校核原文</x:v>
      </x:c>
      <x:c r="M29" s="27" t="str">
        <x:v>https://zh.wikisource.org/wiki/西游记/第九十回</x:v>
      </x:c>
      <x:c r="N29" s="27" t="str">
        <x:v>与青狮、白象、大鹏、白鹿、金毛犼等坐骑后台对比。</x:v>
      </x:c>
    </x:row>
    <x:row r="30">
      <x:c r="A30" s="27" t="str">
        <x:v>H030</x:v>
      </x:c>
      <x:c r="B30" s="27" t="str">
        <x:v>凤仙郡侯</x:v>
      </x:c>
      <x:c r="C30" s="27" t="str">
        <x:v>第87回</x:v>
      </x:c>
      <x:c r="D30" s="27" t="str">
        <x:v>人间地方治理系统</x:v>
      </x:c>
      <x:c r="E30" s="27" t="str">
        <x:v>非妖怪/治理失德风险</x:v>
      </x:c>
      <x:c r="F30" s="27" t="str">
        <x:v>地方失德引发久旱叙事，民生受损。</x:v>
      </x:c>
      <x:c r="G30" s="27" t="str">
        <x:v>凤仙郡百姓、取经团队行程</x:v>
      </x:c>
      <x:c r="H30" s="27" t="str">
        <x:v>孙悟空协调天庭，郡侯悔过</x:v>
      </x:c>
      <x:c r="I30" s="27" t="str">
        <x:v>悔过修德后施雨</x:v>
      </x:c>
      <x:c r="J30" s="27" t="str">
        <x:v>非妖之难也可能呈现为治理失德与民生危机。</x:v>
      </x:c>
      <x:c r="K30" s="27" t="str">
        <x:v>天灾治理对照样本</x:v>
      </x:c>
      <x:c r="L30" s="27" t="str">
        <x:v>待校核原文</x:v>
      </x:c>
      <x:c r="M30" s="27" t="str">
        <x:v>https://zh.wikisource.org/wiki/西游记/第八十七回</x:v>
      </x:c>
      <x:c r="N30" s="27" t="str">
        <x:v>作为制度/治理风险对照对象。</x:v>
      </x:c>
    </x:row>
    <x:row r="31">
      <x:c r="A31" s="24" t="str">
        <x:v>H031</x:v>
      </x:c>
      <x:c r="B31" s="24" t="str">
        <x:v>三犀牛怪/辟寒辟暑辟尘</x:v>
      </x:c>
      <x:c r="C31" s="24" t="str">
        <x:v>第91—92回</x:v>
      </x:c>
      <x:c r="D31" s="24" t="str">
        <x:v>玄英洞/青龙山地方妖怪系统</x:v>
      </x:c>
      <x:c r="E31" s="24" t="str">
        <x:v>非明确高层后台/地方供奉型妖怪</x:v>
      </x:c>
      <x:c r="F31" s="24" t="str">
        <x:v>借元夜观灯和灯油供奉占据地方信仰资源。</x:v>
      </x:c>
      <x:c r="G31" s="24" t="str">
        <x:v>唐僧团队、金平府百姓与僧众</x:v>
      </x:c>
      <x:c r="H31" s="24" t="str">
        <x:v>四木禽星、悟空等</x:v>
      </x:c>
      <x:c r="I31" s="24" t="str">
        <x:v>专业克制收捉</x:v>
      </x:c>
      <x:c r="J31" s="24" t="str">
        <x:v>虽无强后台，却通过地方供奉制度形成长期影响。</x:v>
      </x:c>
      <x:c r="K31" s="24" t="str">
        <x:v>祭祀经济型妖怪样本</x:v>
      </x:c>
      <x:c r="L31" s="24" t="str">
        <x:v>待校核原文</x:v>
      </x:c>
      <x:c r="M31" s="24" t="str">
        <x:v>https://zh.wikisource.org/wiki/西游记/第九十二回</x:v>
      </x:c>
      <x:c r="N31" s="24" t="str">
        <x:v>与通天河灵感大王对比。</x:v>
      </x:c>
    </x:row>
    <x:row r="32">
      <x:c r="A32" s="24" t="str">
        <x:v>H032</x:v>
      </x:c>
      <x:c r="B32" s="24" t="str">
        <x:v>玉兔精/假公主</x:v>
      </x:c>
      <x:c r="C32" s="24" t="str">
        <x:v>第94—95回</x:v>
      </x:c>
      <x:c r="D32" s="24" t="str">
        <x:v>太阴星君/月宫系统</x:v>
      </x:c>
      <x:c r="E32" s="24" t="str">
        <x:v>月宫后台/身份替换型</x:v>
      </x:c>
      <x:c r="F32" s="24" t="str">
        <x:v>冒充天竺公主，借王室礼制和婚配诱惑唐僧。</x:v>
      </x:c>
      <x:c r="G32" s="24" t="str">
        <x:v>唐僧团队、天竺真公主、天竺国王权</x:v>
      </x:c>
      <x:c r="H32" s="24" t="str">
        <x:v>太阴星君、孙悟空</x:v>
      </x:c>
      <x:c r="I32" s="24" t="str">
        <x:v>识破真形后由太阴星君收回</x:v>
      </x:c>
      <x:c r="J32" s="24" t="str">
        <x:v>后台妖怪类型从坐骑、童子、法宝扩展到身份替换与王室嵌入。</x:v>
      </x:c>
      <x:c r="K32" s="24" t="str">
        <x:v>最后阶段身份迷障样本</x:v>
      </x:c>
      <x:c r="L32" s="24" t="str">
        <x:v>待校核原文</x:v>
      </x:c>
      <x:c r="M32" s="24" t="str">
        <x:v>https://zh.wikisource.org/wiki/西游记/第九十五回</x:v>
      </x:c>
      <x:c r="N32" s="24" t="str">
        <x:v>V1.8核心。</x:v>
      </x:c>
    </x:row>
    <x:row r="33">
      <x:c r="A33" s="24" t="str">
        <x:v>H033</x:v>
      </x:c>
      <x:c r="B33" s="24" t="str">
        <x:v>金平府供奉系统</x:v>
      </x:c>
      <x:c r="C33" s="24" t="str">
        <x:v>第91回</x:v>
      </x:c>
      <x:c r="D33" s="24" t="str">
        <x:v>人间地方信仰/寺院供奉</x:v>
      </x:c>
      <x:c r="E33" s="24" t="str">
        <x:v>非妖怪/制度化供奉风险</x:v>
      </x:c>
      <x:c r="F33" s="24" t="str">
        <x:v>被犀牛怪利用为灯油供奉与假权威资源链。</x:v>
      </x:c>
      <x:c r="G33" s="24" t="str">
        <x:v>金平府百姓、僧众、取经团队</x:v>
      </x:c>
      <x:c r="H33" s="24" t="str">
        <x:v>孙悟空识别，四木禽星收束妖怪</x:v>
      </x:c>
      <x:c r="I33" s="24" t="str">
        <x:v>切断假权威链条</x:v>
      </x:c>
      <x:c r="J33" s="24" t="str">
        <x:v>制度环境本身可成为妖怪生存土壤。</x:v>
      </x:c>
      <x:c r="K33" s="24" t="str">
        <x:v>非妖之难对照样本</x:v>
      </x:c>
      <x:c r="L33" s="24" t="str">
        <x:v>待校核原文</x:v>
      </x:c>
      <x:c r="M33" s="24" t="str">
        <x:v>https://zh.wikisource.org/wiki/西游记/第九十一回</x:v>
      </x:c>
      <x:c r="N33" s="24" t="str">
        <x:v>严格说不是后台妖怪，作为风险环境记录。</x:v>
      </x:c>
    </x:row>
    <x:row r="34">
      <x:c r="A34" s="24" t="str">
        <x:v>H034</x:v>
      </x:c>
      <x:c r="B34" s="24" t="str">
        <x:v>天竺国身份替换风险</x:v>
      </x:c>
      <x:c r="C34" s="24" t="str">
        <x:v>第93—95回</x:v>
      </x:c>
      <x:c r="D34" s="24" t="str">
        <x:v>人间王权与月宫系统交叉</x:v>
      </x:c>
      <x:c r="E34" s="24" t="str">
        <x:v>非单一妖怪/制度场景风险</x:v>
      </x:c>
      <x:c r="F34" s="24" t="str">
        <x:v>王室身份核验失灵，假公主进入合法礼制。</x:v>
      </x:c>
      <x:c r="G34" s="24" t="str">
        <x:v>天竺国王、真公主、唐僧团队</x:v>
      </x:c>
      <x:c r="H34" s="24" t="str">
        <x:v>孙悟空、太阴星君</x:v>
      </x:c>
      <x:c r="I34" s="24" t="str">
        <x:v>身份归正，玉兔收束</x:v>
      </x:c>
      <x:c r="J34" s="24" t="str">
        <x:v>越正式的场景，越要防止伪身份进入制度核心。</x:v>
      </x:c>
      <x:c r="K34" s="24" t="str">
        <x:v>王权身份风险样本</x:v>
      </x:c>
      <x:c r="L34" s="24" t="str">
        <x:v>待校核原文</x:v>
      </x:c>
      <x:c r="M34" s="24" t="str">
        <x:v>https://zh.wikisource.org/wiki/西游记/第九十五回</x:v>
      </x:c>
      <x:c r="N34" s="24" t="str">
        <x:v>与乌鸡国真假王、宝象国、朱紫国对比。</x:v>
      </x:c>
    </x:row>
    <x:row r="35" ht="48" customHeight="1">
      <x:c r="A35" s="27" t="str">
        <x:v>H035</x:v>
      </x:c>
      <x:c r="B35" s="27" t="str">
        <x:v>寇员外冤案/地方治安风险</x:v>
      </x:c>
      <x:c r="C35" s="27" t="str">
        <x:v>第96—97回</x:v>
      </x:c>
      <x:c r="D35" s="27" t="str">
        <x:v>人间地方社会/盗匪系统</x:v>
      </x:c>
      <x:c r="E35" s="27" t="str">
        <x:v>非妖怪/善缘反噬型风险</x:v>
      </x:c>
      <x:c r="F35" s="27" t="str">
        <x:v>善信供养后遭盗劫与冤案牵连，唐僧团队受影响。</x:v>
      </x:c>
      <x:c r="G35" s="27" t="str">
        <x:v>寇员外、唐僧团队、地方秩序</x:v>
      </x:c>
      <x:c r="H35" s="27" t="str">
        <x:v>孙悟空、地府/地方官府相关系统</x:v>
      </x:c>
      <x:c r="I35" s="27" t="str">
        <x:v>追查、救本原、澄清冤屈</x:v>
      </x:c>
      <x:c r="J35" s="27" t="str">
        <x:v>不是后台妖怪，而是人间善恶与财物安全风险。</x:v>
      </x:c>
      <x:c r="K35" s="27" t="str">
        <x:v>非妖之难/冤案样本</x:v>
      </x:c>
      <x:c r="L35" s="27" t="str">
        <x:v>待校核原文</x:v>
      </x:c>
      <x:c r="M35" s="27" t="str">
        <x:v>https://zh.wikisource.org/wiki/西游记/第九十七回</x:v>
      </x:c>
      <x:c r="N35" s="27" t="str">
        <x:v>与乌鸡国、祭赛国冤案对照。</x:v>
      </x:c>
    </x:row>
    <x:row r="36" ht="48" customHeight="1">
      <x:c r="A36" s="27" t="str">
        <x:v>H036</x:v>
      </x:c>
      <x:c r="B36" s="27" t="str">
        <x:v>阿傩迦叶传经流程</x:v>
      </x:c>
      <x:c r="C36" s="27" t="str">
        <x:v>第98回</x:v>
      </x:c>
      <x:c r="D36" s="27" t="str">
        <x:v>灵山交付系统</x:v>
      </x:c>
      <x:c r="E36" s="27" t="str">
        <x:v>非妖怪/终局流程风险</x:v>
      </x:c>
      <x:c r="F36" s="27" t="str">
        <x:v>索取人事、先授无字经，引发成果质量问题。</x:v>
      </x:c>
      <x:c r="G36" s="27" t="str">
        <x:v>唐僧团队、大唐取经使命</x:v>
      </x:c>
      <x:c r="H36" s="27" t="str">
        <x:v>燃灯古佛、如来系统</x:v>
      </x:c>
      <x:c r="I36" s="27" t="str">
        <x:v>提示返换有字真经</x:v>
      </x:c>
      <x:c r="J36" s="27" t="str">
        <x:v>最高系统内部也存在流程与交付风险。</x:v>
      </x:c>
      <x:c r="K36" s="27" t="str">
        <x:v>无字经/交付风险核心样本</x:v>
      </x:c>
      <x:c r="L36" s="27" t="str">
        <x:v>待校核原文</x:v>
      </x:c>
      <x:c r="M36" s="27" t="str">
        <x:v>https://zh.wikisource.org/wiki/西游记/第九十八回</x:v>
      </x:c>
      <x:c r="N36" s="27" t="str">
        <x:v>不是妖怪，但比普通妖怪更有研究价值。</x:v>
      </x:c>
    </x:row>
    <x:row r="37" ht="48" customHeight="1">
      <x:c r="A37" s="27" t="str">
        <x:v>H037</x:v>
      </x:c>
      <x:c r="B37" s="27" t="str">
        <x:v>无字经风险</x:v>
      </x:c>
      <x:c r="C37" s="27" t="str">
        <x:v>第98回</x:v>
      </x:c>
      <x:c r="D37" s="27" t="str">
        <x:v>灵山经卷系统</x:v>
      </x:c>
      <x:c r="E37" s="27" t="str">
        <x:v>非妖怪/成果真伪风险</x:v>
      </x:c>
      <x:c r="F37" s="27" t="str">
        <x:v>取经团队一度取得无字经，形式完成但实质不合格。</x:v>
      </x:c>
      <x:c r="G37" s="27" t="str">
        <x:v>取经团队、东土众生</x:v>
      </x:c>
      <x:c r="H37" s="27" t="str">
        <x:v>燃灯古佛、唐僧返换</x:v>
      </x:c>
      <x:c r="I37" s="27" t="str">
        <x:v>识别并换取有字真经</x:v>
      </x:c>
      <x:c r="J37" s="27" t="str">
        <x:v>终局成果必须验收，不能只看交付动作。</x:v>
      </x:c>
      <x:c r="K37" s="27" t="str">
        <x:v>成果质量风险样本</x:v>
      </x:c>
      <x:c r="L37" s="27" t="str">
        <x:v>待校核原文</x:v>
      </x:c>
      <x:c r="M37" s="27" t="str">
        <x:v>https://zh.wikisource.org/wiki/西游记/第九十八回</x:v>
      </x:c>
      <x:c r="N37" s="27" t="str">
        <x:v>V2.0重点专题。</x:v>
      </x:c>
    </x:row>
    <x:row r="38" ht="48" customHeight="1">
      <x:c r="A38" s="27" t="str">
        <x:v>H038</x:v>
      </x:c>
      <x:c r="B38" s="27" t="str">
        <x:v>老鼋补难风险</x:v>
      </x:c>
      <x:c r="C38" s="27" t="str">
        <x:v>第99回</x:v>
      </x:c>
      <x:c r="D38" s="27" t="str">
        <x:v>通天河/承诺关系/观音难数系统</x:v>
      </x:c>
      <x:c r="E38" s="27" t="str">
        <x:v>非妖怪/回程补难风险</x:v>
      </x:c>
      <x:c r="F38" s="27" t="str">
        <x:v>唐僧未代问寿，老鼋回程掀落师徒，经卷受湿。</x:v>
      </x:c>
      <x:c r="G38" s="27" t="str">
        <x:v>唐僧团队、经卷成果</x:v>
      </x:c>
      <x:c r="H38" s="27" t="str">
        <x:v>观音难数系统、师徒晒经</x:v>
      </x:c>
      <x:c r="I38" s="27" t="str">
        <x:v>补足八十一难，保全经卷</x:v>
      </x:c>
      <x:c r="J38" s="27" t="str">
        <x:v>承诺遗漏会在闭环阶段回到系统中。</x:v>
      </x:c>
      <x:c r="K38" s="27" t="str">
        <x:v>最后一难样本</x:v>
      </x:c>
      <x:c r="L38" s="27" t="str">
        <x:v>待校核原文</x:v>
      </x:c>
      <x:c r="M38" s="27" t="str">
        <x:v>https://zh.wikisource.org/wiki/西游记/第九十九回</x:v>
      </x:c>
      <x:c r="N38" s="27" t="str">
        <x:v>正式八十一难校核重点。</x:v>
      </x:c>
    </x:row>
    <x:row r="39" ht="48" customHeight="1">
      <x:c r="A39" s="27" t="str">
        <x:v>H039</x:v>
      </x:c>
      <x:c r="B39" s="27" t="str">
        <x:v>五圣成真评价系统</x:v>
      </x:c>
      <x:c r="C39" s="27" t="str">
        <x:v>第100回</x:v>
      </x:c>
      <x:c r="D39" s="27" t="str">
        <x:v>如来/灵山最高评价系统</x:v>
      </x:c>
      <x:c r="E39" s="27" t="str">
        <x:v>非妖怪/功德评价与角色归位</x:v>
      </x:c>
      <x:c r="F39" s="27" t="str">
        <x:v>取经团队按功行获得最终封号与身份归位。</x:v>
      </x:c>
      <x:c r="G39" s="27" t="str">
        <x:v>唐僧、悟空、八戒、沙僧、白龙马</x:v>
      </x:c>
      <x:c r="H39" s="27" t="str">
        <x:v>如来佛祖</x:v>
      </x:c>
      <x:c r="I39" s="27" t="str">
        <x:v>封赠五圣，功德圆满</x:v>
      </x:c>
      <x:c r="J39" s="27" t="str">
        <x:v>后台不是风险，而是最终评价和制度确认。</x:v>
      </x:c>
      <x:c r="K39" s="27" t="str">
        <x:v>终局评价样本</x:v>
      </x:c>
      <x:c r="L39" s="27" t="str">
        <x:v>待校核原文</x:v>
      </x:c>
      <x:c r="M39" s="27" t="str">
        <x:v>https://zh.wikisource.org/wiki/西游记/第一百回</x:v>
      </x:c>
      <x:c r="N39" s="27" t="str">
        <x:v>可转为人物成长图谱。</x:v>
      </x:c>
    </x:row>
    <x:row r="40" ht="48" customHeight="1">
      <x:c r="A40" s="27" t="str">
        <x:v>H040</x:v>
      </x:c>
      <x:c r="B40" s="27" t="str">
        <x:v>大唐真经回传系统</x:v>
      </x:c>
      <x:c r="C40" s="27" t="str">
        <x:v>第100回</x:v>
      </x:c>
      <x:c r="D40" s="27" t="str">
        <x:v>大唐王权/佛教传播系统</x:v>
      </x:c>
      <x:c r="E40" s="27" t="str">
        <x:v>非妖怪/成果回传系统</x:v>
      </x:c>
      <x:c r="F40" s="27" t="str">
        <x:v>真经回到长安，由国家礼仪接收并进入传播。</x:v>
      </x:c>
      <x:c r="G40" s="27" t="str">
        <x:v>唐太宗、大唐臣民、取经团队</x:v>
      </x:c>
      <x:c r="H40" s="27" t="str">
        <x:v>唐太宗、唐僧团队</x:v>
      </x:c>
      <x:c r="I40" s="27" t="str">
        <x:v>迎经、传经、功德确认</x:v>
      </x:c>
      <x:c r="J40" s="27" t="str">
        <x:v>成果必须回到现实秩序中才算完成。</x:v>
      </x:c>
      <x:c r="K40" s="27" t="str">
        <x:v>项目闭环样本</x:v>
      </x:c>
      <x:c r="L40" s="27" t="str">
        <x:v>待校核原文</x:v>
      </x:c>
      <x:c r="M40" s="27" t="str">
        <x:v>https://zh.wikisource.org/wiki/西游记/第一百回</x:v>
      </x:c>
      <x:c r="N40" s="27" t="str">
        <x:v>适合总论和PWA首页概览。</x:v>
      </x:c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18" hidden="0" customWidth="1"/>
    <x:col min="5" max="5" width="28" hidden="0" customWidth="1"/>
    <x:col min="6" max="6" width="16" hidden="0" customWidth="1"/>
    <x:col min="7" max="7" width="18" hidden="0" customWidth="1"/>
    <x:col min="8" max="8" width="10" hidden="0" customWidth="1"/>
  </x:cols>
  <x:sheetData>
    <x:row r="1">
      <x:c r="A1" s="89" t="str">
        <x:v>《再读西游》AI研究数据底座 V2.0 全书总览</x:v>
      </x:c>
      <x:c r="B1" s="89" t="str"/>
      <x:c r="C1" s="89" t="str"/>
      <x:c r="D1" s="89" t="str"/>
      <x:c r="E1" s="89" t="str"/>
      <x:c r="F1" s="89" t="str"/>
      <x:c r="G1" s="89" t="str"/>
      <x:c r="H1" s="89" t="str"/>
    </x:row>
    <x:row r="2">
      <x:c r="A2" s="27" t="str">
        <x:v>完成状态</x:v>
      </x:c>
      <x:c r="B2" s="27" t="str">
        <x:v>已覆盖第1—100回</x:v>
      </x:c>
      <x:c r="C2" s="27" t="str"/>
      <x:c r="D2" s="27" t="str">
        <x:v>本版定位</x:v>
      </x:c>
      <x:c r="E2" s="27" t="str">
        <x:v>全书数据底座完成版</x:v>
      </x:c>
      <x:c r="F2" s="27" t="str"/>
      <x:c r="G2" s="27" t="str">
        <x:v>日期</x:v>
      </x:c>
      <x:c r="H2" s="27" t="str">
        <x:v>2026-06-14</x:v>
      </x:c>
    </x:row>
    <x:row r="3">
      <x:c r="A3" s="27" t="str">
        <x:v>核心成果</x:v>
      </x:c>
      <x:c r="B3" s="27" t="str">
        <x:v>百回主题表</x:v>
      </x:c>
      <x:c r="C3" s="27" t="str">
        <x:v>100回</x:v>
      </x:c>
      <x:c r="D3" s="27" t="str">
        <x:v>八十一难候选/结构节点</x:v>
      </x:c>
      <x:c r="E3" s="27" t="str">
        <x:v>已扩展至收官段</x:v>
      </x:c>
      <x:c r="F3" s="27" t="str">
        <x:v>对象/妖怪表</x:v>
      </x:c>
      <x:c r="G3" s="27" t="str">
        <x:v>144项</x:v>
      </x:c>
      <x:c r="H3" s="27" t="str"/>
    </x:row>
    <x:row r="4">
      <x:c r="A4" s="27" t="str">
        <x:v>核心成果</x:v>
      </x:c>
      <x:c r="B4" s="27" t="str">
        <x:v>人物关系表</x:v>
      </x:c>
      <x:c r="C4" s="27" t="str">
        <x:v>172条关系边</x:v>
      </x:c>
      <x:c r="D4" s="27" t="str">
        <x:v>专题观点表</x:v>
      </x:c>
      <x:c r="E4" s="27" t="str">
        <x:v>83个专题</x:v>
      </x:c>
      <x:c r="F4" s="27" t="str">
        <x:v>法宝/资源表</x:v>
      </x:c>
      <x:c r="G4" s="27" t="str">
        <x:v>57项</x:v>
      </x:c>
      <x:c r="H4" s="27" t="str"/>
    </x:row>
    <x:row r="5">
      <x:c r="A5" s="27" t="str">
        <x:v>核心成果</x:v>
      </x:c>
      <x:c r="B5" s="27" t="str">
        <x:v>后台妖怪/非妖风险表</x:v>
      </x:c>
      <x:c r="C5" s="27" t="str">
        <x:v>40项</x:v>
      </x:c>
      <x:c r="D5" s="27" t="str">
        <x:v>下一阶段</x:v>
      </x:c>
      <x:c r="E5" s="27" t="str">
        <x:v>校核、摘录、图谱、写作</x:v>
      </x:c>
      <x:c r="F5" s="27" t="str"/>
      <x:c r="G5" s="27" t="str"/>
      <x:c r="H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</x:row>
    <x:row r="7">
      <x:c r="A7" s="90" t="str">
        <x:v>一、全书结构分段</x:v>
      </x:c>
      <x:c r="B7" s="90" t="str"/>
      <x:c r="C7" s="90" t="str"/>
      <x:c r="D7" s="90" t="str"/>
      <x:c r="E7" s="90" t="str"/>
      <x:c r="F7" s="90" t="str"/>
      <x:c r="G7" s="90" t="str"/>
      <x:c r="H7" s="90" t="str"/>
    </x:row>
    <x:row r="8">
      <x:c r="A8" s="91" t="str">
        <x:v>阶段</x:v>
      </x:c>
      <x:c r="B8" s="91" t="str">
        <x:v>回次</x:v>
      </x:c>
      <x:c r="C8" s="91" t="str">
        <x:v>核心内容</x:v>
      </x:c>
      <x:c r="D8" s="91" t="str">
        <x:v>关键词</x:v>
      </x:c>
      <x:c r="E8" s="91" t="str">
        <x:v>研究价值</x:v>
      </x:c>
      <x:c r="F8" s="91" t="str">
        <x:v>优先输出</x:v>
      </x:c>
      <x:c r="G8" s="91" t="str">
        <x:v>备注</x:v>
      </x:c>
      <x:c r="H8" s="91" t="str"/>
    </x:row>
    <x:row r="9">
      <x:c r="A9" s="27" t="str">
        <x:v>前传与心性总纲</x:v>
      </x:c>
      <x:c r="B9" s="27" t="str">
        <x:v>1—7回</x:v>
      </x:c>
      <x:c r="C9" s="27" t="str">
        <x:v>石猴出世、学道、大闹天宫、五行山</x:v>
      </x:c>
      <x:c r="D9" s="27" t="str">
        <x:v>心猿、名位、越界、定心</x:v>
      </x:c>
      <x:c r="E9" s="27" t="str">
        <x:v>孙悟空心性成长总钥匙</x:v>
      </x:c>
      <x:c r="F9" s="27" t="str">
        <x:v>孙悟空专题</x:v>
      </x:c>
      <x:c r="G9" s="27" t="str">
        <x:v>前传，不列正式取经难</x:v>
      </x:c>
      <x:c r="H9" s="27" t="str"/>
    </x:row>
    <x:row r="10">
      <x:c r="A10" s="27" t="str">
        <x:v>取经立项与团队成型</x:v>
      </x:c>
      <x:c r="B10" s="27" t="str">
        <x:v>8—22回</x:v>
      </x:c>
      <x:c r="C10" s="27" t="str">
        <x:v>取经任务、唐僧出场、收白龙马/八戒/沙僧</x:v>
      </x:c>
      <x:c r="D10" s="27" t="str">
        <x:v>使命、护法、团队</x:v>
      </x:c>
      <x:c r="E10" s="27" t="str">
        <x:v>项目制组织形成</x:v>
      </x:c>
      <x:c r="F10" s="27" t="str">
        <x:v>团队模型图</x:v>
      </x:c>
      <x:c r="G10" s="27" t="str"/>
      <x:c r="H10" s="27" t="str"/>
    </x:row>
    <x:row r="11">
      <x:c r="A11" s="27" t="str">
        <x:v>信任危机与再磨合</x:v>
      </x:c>
      <x:c r="B11" s="27" t="str">
        <x:v>23—31回</x:v>
      </x:c>
      <x:c r="C11" s="27" t="str">
        <x:v>四圣试心、人参果、三打白骨精、宝象国</x:v>
      </x:c>
      <x:c r="D11" s="27" t="str">
        <x:v>试心、误判、逐猴、核心人才</x:v>
      </x:c>
      <x:c r="E11" s="27" t="str">
        <x:v>团队信任与能力风险</x:v>
      </x:c>
      <x:c r="F11" s="27" t="str">
        <x:v>三打白骨精专题</x:v>
      </x:c>
      <x:c r="G11" s="27" t="str"/>
      <x:c r="H11" s="27" t="str"/>
    </x:row>
    <x:row r="12">
      <x:c r="A12" s="27" t="str">
        <x:v>后台妖怪与法宝风险</x:v>
      </x:c>
      <x:c r="B12" s="27" t="str">
        <x:v>32—52回</x:v>
      </x:c>
      <x:c r="C12" s="27" t="str">
        <x:v>莲花洞、乌鸡国、红孩儿、车迟国、通天河、金兜洞</x:v>
      </x:c>
      <x:c r="D12" s="27" t="str">
        <x:v>后台、法宝、假权威、救援</x:v>
      </x:c>
      <x:c r="E12" s="27" t="str">
        <x:v>系统资源外溢与治理</x:v>
      </x:c>
      <x:c r="F12" s="27" t="str">
        <x:v>后台妖怪矩阵</x:v>
      </x:c>
      <x:c r="G12" s="27" t="str"/>
      <x:c r="H12" s="27" t="str"/>
    </x:row>
    <x:row r="13">
      <x:c r="A13" s="27" t="str">
        <x:v>二心、欲望与家族链</x:v>
      </x:c>
      <x:c r="B13" s="27" t="str">
        <x:v>53—61回</x:v>
      </x:c>
      <x:c r="C13" s="27" t="str">
        <x:v>女儿国、蝎子精、真假美猴王、火焰山</x:v>
      </x:c>
      <x:c r="D13" s="27" t="str">
        <x:v>欲望、二心、身份、家族</x:v>
      </x:c>
      <x:c r="E13" s="27" t="str">
        <x:v>自我分裂与旧怨破局</x:v>
      </x:c>
      <x:c r="F13" s="27" t="str">
        <x:v>真假美猴王/火焰山专题</x:v>
      </x:c>
      <x:c r="G13" s="27" t="str"/>
      <x:c r="H13" s="27" t="str"/>
    </x:row>
    <x:row r="14">
      <x:c r="A14" s="27" t="str">
        <x:v>后半程高阶风险</x:v>
      </x:c>
      <x:c r="B14" s="27" t="str">
        <x:v>62—90回</x:v>
      </x:c>
      <x:c r="C14" s="27" t="str">
        <x:v>祭赛国、小雷音、朱紫国、盘丝洞、狮驼岭、比丘国、九灵元圣</x:v>
      </x:c>
      <x:c r="D14" s="27" t="str">
        <x:v>假权威、极端风险、儿童保护、授艺、天灾</x:v>
      </x:c>
      <x:c r="E14" s="27" t="str">
        <x:v>复杂系统风险升级</x:v>
      </x:c>
      <x:c r="F14" s="27" t="str">
        <x:v>狮驼岭/比丘国/凤仙郡专题</x:v>
      </x:c>
      <x:c r="G14" s="27" t="str"/>
      <x:c r="H14" s="27" t="str"/>
    </x:row>
    <x:row r="15">
      <x:c r="A15" s="27" t="str">
        <x:v>临近灵山与收官</x:v>
      </x:c>
      <x:c r="B15" s="27" t="str">
        <x:v>91—100回</x:v>
      </x:c>
      <x:c r="C15" s="27" t="str">
        <x:v>金平府、天竺国、寇员外、无字经、补难、五圣成真</x:v>
      </x:c>
      <x:c r="D15" s="27" t="str">
        <x:v>供奉、身份、无字经、闭环、成真</x:v>
      </x:c>
      <x:c r="E15" s="27" t="str">
        <x:v>终局交付与功德评价</x:v>
      </x:c>
      <x:c r="F15" s="27" t="str">
        <x:v>无字经/五圣成真专题</x:v>
      </x:c>
      <x:c r="G15" s="27" t="str"/>
      <x:c r="H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</x:row>
    <x:row r="17">
      <x:c r="A17" s="90" t="str">
        <x:v>二、下一阶段优先级</x:v>
      </x:c>
      <x:c r="B17" s="90" t="str"/>
      <x:c r="C17" s="90" t="str"/>
      <x:c r="D17" s="90" t="str"/>
      <x:c r="E17" s="90" t="str"/>
      <x:c r="F17" s="90" t="str"/>
      <x:c r="G17" s="90" t="str"/>
      <x:c r="H17" s="90" t="str"/>
    </x:row>
    <x:row r="18">
      <x:c r="A18" s="91" t="str">
        <x:v>优先级</x:v>
      </x:c>
      <x:c r="B18" s="91" t="str">
        <x:v>任务</x:v>
      </x:c>
      <x:c r="C18" s="91" t="str">
        <x:v>输入表</x:v>
      </x:c>
      <x:c r="D18" s="91" t="str">
        <x:v>输出</x:v>
      </x:c>
      <x:c r="E18" s="91" t="str">
        <x:v>说明</x:v>
      </x:c>
      <x:c r="F18" s="91" t="str"/>
      <x:c r="G18" s="91" t="str"/>
      <x:c r="H18" s="91" t="str"/>
    </x:row>
    <x:row r="19">
      <x:c r="A19" s="27" t="str">
        <x:v>P1</x:v>
      </x:c>
      <x:c r="B19" s="27" t="str">
        <x:v>正式八十一难校核</x:v>
      </x:c>
      <x:c r="C19" s="27" t="str">
        <x:v>02_八十一难表</x:v>
      </x:c>
      <x:c r="D19" s="27" t="str">
        <x:v>正式难清单+结构风险分层</x:v>
      </x:c>
      <x:c r="E19" s="27" t="str">
        <x:v>避免把前传、结构风险、正式难混为一谈。</x:v>
      </x:c>
      <x:c r="F19" s="27" t="str"/>
      <x:c r="G19" s="27" t="str"/>
      <x:c r="H19" s="27" t="str"/>
    </x:row>
    <x:row r="20">
      <x:c r="A20" s="27" t="str">
        <x:v>P1</x:v>
      </x:c>
      <x:c r="B20" s="27" t="str">
        <x:v>原文摘录表</x:v>
      </x:c>
      <x:c r="C20" s="27" t="str">
        <x:v>01/02/06各表</x:v>
      </x:c>
      <x:c r="D20" s="27" t="str">
        <x:v>09_原文摘录表</x:v>
      </x:c>
      <x:c r="E20" s="27" t="str">
        <x:v>每个专题至少配3—5条短引文，保证可考据。</x:v>
      </x:c>
      <x:c r="F20" s="27" t="str"/>
      <x:c r="G20" s="27" t="str"/>
      <x:c r="H20" s="27" t="str"/>
    </x:row>
    <x:row r="21">
      <x:c r="A21" s="27" t="str">
        <x:v>P2</x:v>
      </x:c>
      <x:c r="B21" s="27" t="str">
        <x:v>三类图谱</x:v>
      </x:c>
      <x:c r="C21" s="27" t="str">
        <x:v>05/08/07表</x:v>
      </x:c>
      <x:c r="D21" s="27" t="str">
        <x:v>人物关系图、后台责任链图、法宝风险图</x:v>
      </x:c>
      <x:c r="E21" s="27" t="str">
        <x:v>先做静态图，再进PWA交互。</x:v>
      </x:c>
      <x:c r="F21" s="27" t="str"/>
      <x:c r="G21" s="27" t="str"/>
      <x:c r="H21" s="27" t="str"/>
    </x:row>
    <x:row r="22">
      <x:c r="A22" s="27" t="str">
        <x:v>P2</x:v>
      </x:c>
      <x:c r="B22" s="27" t="str">
        <x:v>专题文章目录</x:v>
      </x:c>
      <x:c r="C22" s="27" t="str">
        <x:v>06_专题观点表</x:v>
      </x:c>
      <x:c r="D22" s="27" t="str">
        <x:v>《再读西游十题/二十题》</x:v>
      </x:c>
      <x:c r="E22" s="27" t="str">
        <x:v>先写10篇主干，再扩展20篇。</x:v>
      </x:c>
      <x:c r="F22" s="27" t="str"/>
      <x:c r="G22" s="27" t="str"/>
      <x:c r="H22" s="27" t="str"/>
    </x:row>
    <x:row r="23">
      <x:c r="A23" s="27" t="str">
        <x:v>P3</x:v>
      </x:c>
      <x:c r="B23" s="27" t="str">
        <x:v>HTML/PWA检索版</x:v>
      </x:c>
      <x:c r="C23" s="27" t="str">
        <x:v>全部核心表</x:v>
      </x:c>
      <x:c r="D23" s="27" t="str">
        <x:v>全书可检索阅读工作台</x:v>
      </x:c>
      <x:c r="E23" s="27" t="str">
        <x:v>适合后续公开传播与长期维护。</x:v>
      </x:c>
      <x:c r="F23" s="27" t="str"/>
      <x:c r="G23" s="27" t="str"/>
      <x:c r="H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</x:row>
    <x:row r="25">
      <x:c r="A25" s="90" t="str">
        <x:v>三、推荐先写十题</x:v>
      </x:c>
      <x:c r="B25" s="90" t="str"/>
      <x:c r="C25" s="90" t="str"/>
      <x:c r="D25" s="90" t="str"/>
      <x:c r="E25" s="90" t="str"/>
      <x:c r="F25" s="90" t="str"/>
      <x:c r="G25" s="90" t="str"/>
      <x:c r="H25" s="90" t="str"/>
    </x:row>
    <x:row r="26">
      <x:c r="A26" s="91" t="str">
        <x:v>序号</x:v>
      </x:c>
      <x:c r="B26" s="91" t="str">
        <x:v>题目</x:v>
      </x:c>
      <x:c r="C26" s="91" t="str">
        <x:v>主表依据</x:v>
      </x:c>
      <x:c r="D26" s="91" t="str">
        <x:v>关键词</x:v>
      </x:c>
      <x:c r="E26" s="91" t="str">
        <x:v>适合形式</x:v>
      </x:c>
      <x:c r="F26" s="91" t="str"/>
      <x:c r="G26" s="91" t="str"/>
      <x:c r="H26" s="91" t="str"/>
    </x:row>
    <x:row r="27">
      <x:c r="A27" s="27" t="n">
        <x:v>1</x:v>
      </x:c>
      <x:c r="B27" s="27" t="str">
        <x:v>孙悟空不是猴，是心</x:v>
      </x:c>
      <x:c r="C27" s="27" t="str">
        <x:v>01/05/06</x:v>
      </x:c>
      <x:c r="D27" s="27" t="str">
        <x:v>心猿、紧箍、斗战胜佛</x:v>
      </x:c>
      <x:c r="E27" s="27" t="str">
        <x:v>长文/讲座</x:v>
      </x:c>
      <x:c r="F27" s="27" t="str"/>
      <x:c r="G27" s="27" t="str"/>
      <x:c r="H27" s="27" t="str"/>
    </x:row>
    <x:row r="28">
      <x:c r="A28" s="27" t="n">
        <x:v>2</x:v>
      </x:c>
      <x:c r="B28" s="27" t="str">
        <x:v>为什么唐僧必须当领导</x:v>
      </x:c>
      <x:c r="C28" s="27" t="str">
        <x:v>01/05/06</x:v>
      </x:c>
      <x:c r="D28" s="27" t="str">
        <x:v>合法性、信念、使命</x:v>
      </x:c>
      <x:c r="E28" s="27" t="str">
        <x:v>长文</x:v>
      </x:c>
      <x:c r="F28" s="27" t="str"/>
      <x:c r="G28" s="27" t="str"/>
      <x:c r="H28" s="27" t="str"/>
    </x:row>
    <x:row r="29">
      <x:c r="A29" s="27" t="n">
        <x:v>3</x:v>
      </x:c>
      <x:c r="B29" s="27" t="str">
        <x:v>猪八戒为什么不能被开除</x:v>
      </x:c>
      <x:c r="C29" s="27" t="str">
        <x:v>01/03/06</x:v>
      </x:c>
      <x:c r="D29" s="27" t="str">
        <x:v>欲望、人性、团队弹性</x:v>
      </x:c>
      <x:c r="E29" s="27" t="str">
        <x:v>趣味文</x:v>
      </x:c>
      <x:c r="F29" s="27" t="str"/>
      <x:c r="G29" s="27" t="str"/>
      <x:c r="H29" s="27" t="str"/>
    </x:row>
    <x:row r="30">
      <x:c r="A30" s="27" t="n">
        <x:v>4</x:v>
      </x:c>
      <x:c r="B30" s="27" t="str">
        <x:v>有后台的妖怪</x:v>
      </x:c>
      <x:c r="C30" s="27" t="str">
        <x:v>08/03/07</x:v>
      </x:c>
      <x:c r="D30" s="27" t="str">
        <x:v>坐骑、童子、法宝、星宿、月宫</x:v>
      </x:c>
      <x:c r="E30" s="27" t="str">
        <x:v>图谱文</x:v>
      </x:c>
      <x:c r="F30" s="27" t="str"/>
      <x:c r="G30" s="27" t="str"/>
      <x:c r="H30" s="27" t="str"/>
    </x:row>
    <x:row r="31">
      <x:c r="A31" s="27" t="n">
        <x:v>5</x:v>
      </x:c>
      <x:c r="B31" s="27" t="str">
        <x:v>三打白骨精：专业判断为何输给表象</x:v>
      </x:c>
      <x:c r="C31" s="27" t="str">
        <x:v>01/05/06</x:v>
      </x:c>
      <x:c r="D31" s="27" t="str">
        <x:v>误判、噪声、信任裂缝</x:v>
      </x:c>
      <x:c r="E31" s="27" t="str">
        <x:v>管理文</x:v>
      </x:c>
      <x:c r="F31" s="27" t="str"/>
      <x:c r="G31" s="27" t="str"/>
      <x:c r="H31" s="27" t="str"/>
    </x:row>
    <x:row r="32">
      <x:c r="A32" s="27" t="n">
        <x:v>6</x:v>
      </x:c>
      <x:c r="B32" s="27" t="str">
        <x:v>真假美猴王：最难降伏的是另一个自己</x:v>
      </x:c>
      <x:c r="C32" s="27" t="str">
        <x:v>01/03/06</x:v>
      </x:c>
      <x:c r="D32" s="27" t="str">
        <x:v>二心、复制、身份</x:v>
      </x:c>
      <x:c r="E32" s="27" t="str">
        <x:v>思想文</x:v>
      </x:c>
      <x:c r="F32" s="27" t="str"/>
      <x:c r="G32" s="27" t="str"/>
      <x:c r="H32" s="27" t="str"/>
    </x:row>
    <x:row r="33">
      <x:c r="A33" s="27" t="n">
        <x:v>7</x:v>
      </x:c>
      <x:c r="B33" s="27" t="str">
        <x:v>狮驼岭：全书最重的组织化妖怪风险</x:v>
      </x:c>
      <x:c r="C33" s="27" t="str">
        <x:v>01/03/05/08</x:v>
      </x:c>
      <x:c r="D33" s="27" t="str">
        <x:v>极端风险、后台边界</x:v>
      </x:c>
      <x:c r="E33" s="27" t="str">
        <x:v>深度文</x:v>
      </x:c>
      <x:c r="F33" s="27" t="str"/>
      <x:c r="G33" s="27" t="str"/>
      <x:c r="H33" s="27" t="str"/>
    </x:row>
    <x:row r="34">
      <x:c r="A34" s="27" t="n">
        <x:v>8</x:v>
      </x:c>
      <x:c r="B34" s="27" t="str">
        <x:v>无字经：为什么到灵山还会出问题</x:v>
      </x:c>
      <x:c r="C34" s="27" t="str">
        <x:v>01/02/06/07/08</x:v>
      </x:c>
      <x:c r="D34" s="27" t="str">
        <x:v>交付、验收、真伪、规则</x:v>
      </x:c>
      <x:c r="E34" s="27" t="str">
        <x:v>收官专题</x:v>
      </x:c>
      <x:c r="F34" s="27" t="str"/>
      <x:c r="G34" s="27" t="str"/>
      <x:c r="H34" s="27" t="str"/>
    </x:row>
    <x:row r="35">
      <x:c r="A35" s="27" t="n">
        <x:v>9</x:v>
      </x:c>
      <x:c r="B35" s="27" t="str">
        <x:v>最后一难：为什么快结束了还会翻船</x:v>
      </x:c>
      <x:c r="C35" s="27" t="str">
        <x:v>02/06/07/08</x:v>
      </x:c>
      <x:c r="D35" s="27" t="str">
        <x:v>老鼋、承诺、闭环</x:v>
      </x:c>
      <x:c r="E35" s="27" t="str">
        <x:v>人生/项目文</x:v>
      </x:c>
      <x:c r="F35" s="27" t="str"/>
      <x:c r="G35" s="27" t="str"/>
      <x:c r="H35" s="27" t="str"/>
    </x:row>
    <x:row r="36">
      <x:c r="A36" s="27" t="n">
        <x:v>10</x:v>
      </x:c>
      <x:c r="B36" s="27" t="str">
        <x:v>五圣成真：一个团队如何各得其所</x:v>
      </x:c>
      <x:c r="C36" s="27" t="str">
        <x:v>01/05/06</x:v>
      </x:c>
      <x:c r="D36" s="27" t="str">
        <x:v>封号、功德、角色归位</x:v>
      </x:c>
      <x:c r="E36" s="27" t="str">
        <x:v>总论</x:v>
      </x:c>
      <x:c r="F36" s="27" t="str"/>
      <x:c r="G36" s="27" t="str"/>
      <x:c r="H36" s="27" t="str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5" hidden="0" customWidth="1"/>
    <x:col min="4" max="4" width="2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24" hidden="0" customWidth="1"/>
    <x:col min="10" max="10" width="32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>
      <x:c r="A1" s="102" t="str">
        <x:v>难次</x:v>
      </x:c>
      <x:c r="B1" s="102" t="str">
        <x:v>第99回难名</x:v>
      </x:c>
      <x:c r="C1" s="102" t="str">
        <x:v>关联回目</x:v>
      </x:c>
      <x:c r="D1" s="102" t="str">
        <x:v>叙事单元/事件</x:v>
      </x:c>
      <x:c r="E1" s="102" t="str">
        <x:v>V2.0条目对照</x:v>
      </x:c>
      <x:c r="F1" s="102" t="str">
        <x:v>校核状态</x:v>
      </x:c>
      <x:c r="G1" s="102" t="str">
        <x:v>主题分类</x:v>
      </x:c>
      <x:c r="H1" s="102" t="str">
        <x:v>风险类型</x:v>
      </x:c>
      <x:c r="I1" s="102" t="str">
        <x:v>主要人物/对象</x:v>
      </x:c>
      <x:c r="J1" s="102" t="str">
        <x:v>证据定位</x:v>
      </x:c>
      <x:c r="K1" s="102" t="str">
        <x:v>后续校核要点</x:v>
      </x:c>
      <x:c r="L1" s="102" t="str">
        <x:v>来源URL</x:v>
      </x:c>
      <x:c r="M1" s="102" t="str">
        <x:v>备注</x:v>
      </x:c>
    </x:row>
    <x:row r="2">
      <x:c r="A2" s="103" t="n">
        <x:v>1</x:v>
      </x:c>
      <x:c r="B2" s="27" t="str">
        <x:v>金蟬遭貶</x:v>
      </x:c>
      <x:c r="C2" s="27" t="str">
        <x:v>前史/第1—8回铺垫</x:v>
      </x:c>
      <x:c r="D2" s="27" t="str">
        <x:v>金蝉子前世被贬，下界取经的因缘起点</x:v>
      </x:c>
      <x:c r="E2" s="27" t="str">
        <x:v>前传因缘/取经立项</x:v>
      </x:c>
      <x:c r="F2" s="27" t="str">
        <x:v>原文第99回明列</x:v>
      </x:c>
      <x:c r="G2" s="27" t="str">
        <x:v>因果起点</x:v>
      </x:c>
      <x:c r="H2" s="27" t="str">
        <x:v>前世业缘</x:v>
      </x:c>
      <x:c r="I2" s="27" t="str">
        <x:v>金蝉子、如来、唐僧</x:v>
      </x:c>
      <x:c r="J2" s="27" t="str">
        <x:v>第99回难簿：金蟬遭貶第一難</x:v>
      </x:c>
      <x:c r="K2" s="27" t="str">
        <x:v>需对照校注本说明金蝉子事由</x:v>
      </x:c>
      <x:c r="L2" s="27" t="str">
        <x:v>https://zh.wikisource.org/wiki/西遊記/第099回</x:v>
      </x:c>
      <x:c r="M2" s="27" t="str"/>
    </x:row>
    <x:row r="3">
      <x:c r="A3" s="103" t="n">
        <x:v>2</x:v>
      </x:c>
      <x:c r="B3" s="27" t="str">
        <x:v>出胎幾殺</x:v>
      </x:c>
      <x:c r="C3" s="27" t="str">
        <x:v>第9回</x:v>
      </x:c>
      <x:c r="D3" s="27" t="str">
        <x:v>江流儿出世，遭杀害风险</x:v>
      </x:c>
      <x:c r="E3" s="27" t="str">
        <x:v>唐僧身世</x:v>
      </x:c>
      <x:c r="F3" s="27" t="str">
        <x:v>原文第99回明列</x:v>
      </x:c>
      <x:c r="G3" s="27" t="str">
        <x:v>生命风险</x:v>
      </x:c>
      <x:c r="H3" s="27" t="str">
        <x:v>出生危机</x:v>
      </x:c>
      <x:c r="I3" s="27" t="str">
        <x:v>江流儿、殷温娇、刘洪</x:v>
      </x:c>
      <x:c r="J3" s="27" t="str">
        <x:v>第99回难簿：出胎幾殺第二難</x:v>
      </x:c>
      <x:c r="K3" s="27" t="str">
        <x:v>需补第9回原文定位</x:v>
      </x:c>
      <x:c r="L3" s="27" t="str">
        <x:v>https://zh.wikisource.org/wiki/西遊記/第099回</x:v>
      </x:c>
      <x:c r="M3" s="27" t="str"/>
    </x:row>
    <x:row r="4">
      <x:c r="A4" s="103" t="n">
        <x:v>3</x:v>
      </x:c>
      <x:c r="B4" s="27" t="str">
        <x:v>滿月拋江</x:v>
      </x:c>
      <x:c r="C4" s="27" t="str">
        <x:v>第9回</x:v>
      </x:c>
      <x:c r="D4" s="27" t="str">
        <x:v>满月婴儿被弃江流，漂流获救</x:v>
      </x:c>
      <x:c r="E4" s="27" t="str">
        <x:v>唐僧身世</x:v>
      </x:c>
      <x:c r="F4" s="27" t="str">
        <x:v>原文第99回明列</x:v>
      </x:c>
      <x:c r="G4" s="27" t="str">
        <x:v>生命风险</x:v>
      </x:c>
      <x:c r="H4" s="27" t="str">
        <x:v>弃婴/水难</x:v>
      </x:c>
      <x:c r="I4" s="27" t="str">
        <x:v>江流儿、金山寺长老</x:v>
      </x:c>
      <x:c r="J4" s="27" t="str">
        <x:v>第99回难簿：滿月拋江第三難</x:v>
      </x:c>
      <x:c r="K4" s="27" t="str">
        <x:v>需补第9回原文定位</x:v>
      </x:c>
      <x:c r="L4" s="27" t="str">
        <x:v>https://zh.wikisource.org/wiki/西遊記/第099回</x:v>
      </x:c>
      <x:c r="M4" s="27" t="str"/>
    </x:row>
    <x:row r="5">
      <x:c r="A5" s="103" t="n">
        <x:v>4</x:v>
      </x:c>
      <x:c r="B5" s="27" t="str">
        <x:v>尋親報冤</x:v>
      </x:c>
      <x:c r="C5" s="27" t="str">
        <x:v>第11—12回</x:v>
      </x:c>
      <x:c r="D5" s="27" t="str">
        <x:v>唐僧寻亲认母，昭雪家仇</x:v>
      </x:c>
      <x:c r="E5" s="27" t="str">
        <x:v>唐僧身世/冤案昭雪</x:v>
      </x:c>
      <x:c r="F5" s="27" t="str">
        <x:v>原文第99回明列</x:v>
      </x:c>
      <x:c r="G5" s="27" t="str">
        <x:v>冤案昭雪</x:v>
      </x:c>
      <x:c r="H5" s="27" t="str">
        <x:v>身份确认</x:v>
      </x:c>
      <x:c r="I5" s="27" t="str">
        <x:v>唐僧、殷温娇、刘洪、唐太宗</x:v>
      </x:c>
      <x:c r="J5" s="27" t="str">
        <x:v>第99回难簿：尋親報冤第四難</x:v>
      </x:c>
      <x:c r="K5" s="27" t="str">
        <x:v>需补第11—12回证据链</x:v>
      </x:c>
      <x:c r="L5" s="27" t="str">
        <x:v>https://zh.wikisource.org/wiki/西遊記/第099回</x:v>
      </x:c>
      <x:c r="M5" s="27" t="str"/>
    </x:row>
    <x:row r="6">
      <x:c r="A6" s="103" t="n">
        <x:v>5</x:v>
      </x:c>
      <x:c r="B6" s="27" t="str">
        <x:v>出城逢虎</x:v>
      </x:c>
      <x:c r="C6" s="27" t="str">
        <x:v>第13回</x:v>
      </x:c>
      <x:c r="D6" s="27" t="str">
        <x:v>唐僧初出长安，遭遇虎狼威胁</x:v>
      </x:c>
      <x:c r="E6" s="27" t="str">
        <x:v>取经初行</x:v>
      </x:c>
      <x:c r="F6" s="27" t="str">
        <x:v>原文第99回明列</x:v>
      </x:c>
      <x:c r="G6" s="27" t="str">
        <x:v>外部风险</x:v>
      </x:c>
      <x:c r="H6" s="27" t="str">
        <x:v>野外猛兽</x:v>
      </x:c>
      <x:c r="I6" s="27" t="str">
        <x:v>唐僧、随从、山兽</x:v>
      </x:c>
      <x:c r="J6" s="27" t="str">
        <x:v>第99回难簿：出城逢虎第五難</x:v>
      </x:c>
      <x:c r="K6" s="27" t="str">
        <x:v>第13回起正式西行风险</x:v>
      </x:c>
      <x:c r="L6" s="27" t="str">
        <x:v>https://zh.wikisource.org/wiki/西遊記/第099回</x:v>
      </x:c>
      <x:c r="M6" s="27" t="str"/>
    </x:row>
    <x:row r="7">
      <x:c r="A7" s="103" t="n">
        <x:v>6</x:v>
      </x:c>
      <x:c r="B7" s="27" t="str">
        <x:v>折從落坑</x:v>
      </x:c>
      <x:c r="C7" s="27" t="str">
        <x:v>第13回</x:v>
      </x:c>
      <x:c r="D7" s="27" t="str">
        <x:v>随从折损，陷入坑坎危局</x:v>
      </x:c>
      <x:c r="E7" s="27" t="str">
        <x:v>双叉岭前后</x:v>
      </x:c>
      <x:c r="F7" s="27" t="str">
        <x:v>原文第99回明列</x:v>
      </x:c>
      <x:c r="G7" s="27" t="str">
        <x:v>外部风险</x:v>
      </x:c>
      <x:c r="H7" s="27" t="str">
        <x:v>团队折损</x:v>
      </x:c>
      <x:c r="I7" s="27" t="str">
        <x:v>唐僧、随从</x:v>
      </x:c>
      <x:c r="J7" s="27" t="str">
        <x:v>第99回难簿：折從落坑第六難</x:v>
      </x:c>
      <x:c r="K7" s="27" t="str">
        <x:v>需对照版本异文“折从”含义</x:v>
      </x:c>
      <x:c r="L7" s="27" t="str">
        <x:v>https://zh.wikisource.org/wiki/西遊記/第099回</x:v>
      </x:c>
      <x:c r="M7" s="27" t="str"/>
    </x:row>
    <x:row r="8">
      <x:c r="A8" s="103" t="n">
        <x:v>7</x:v>
      </x:c>
      <x:c r="B8" s="27" t="str">
        <x:v>雙叉嶺上</x:v>
      </x:c>
      <x:c r="C8" s="27" t="str">
        <x:v>第13回</x:v>
      </x:c>
      <x:c r="D8" s="27" t="str">
        <x:v>双叉岭三妖劫难，唐僧初遇群妖</x:v>
      </x:c>
      <x:c r="E8" s="27" t="str">
        <x:v>双叉岭之难</x:v>
      </x:c>
      <x:c r="F8" s="27" t="str">
        <x:v>原文第99回明列</x:v>
      </x:c>
      <x:c r="G8" s="27" t="str">
        <x:v>妖怪风险</x:v>
      </x:c>
      <x:c r="H8" s="27" t="str">
        <x:v>山林妖怪</x:v>
      </x:c>
      <x:c r="I8" s="27" t="str">
        <x:v>寅将军、熊山君、特处士、唐僧</x:v>
      </x:c>
      <x:c r="J8" s="27" t="str">
        <x:v>第99回难簿：雙叉嶺上第七難</x:v>
      </x:c>
      <x:c r="K8" s="27" t="str">
        <x:v>可与第一正式妖怪风险关联</x:v>
      </x:c>
      <x:c r="L8" s="27" t="str">
        <x:v>https://zh.wikisource.org/wiki/西遊記/第099回</x:v>
      </x:c>
      <x:c r="M8" s="27" t="str"/>
    </x:row>
    <x:row r="9">
      <x:c r="A9" s="103" t="n">
        <x:v>8</x:v>
      </x:c>
      <x:c r="B9" s="27" t="str">
        <x:v>兩界山頭</x:v>
      </x:c>
      <x:c r="C9" s="27" t="str">
        <x:v>第14回</x:v>
      </x:c>
      <x:c r="D9" s="27" t="str">
        <x:v>两界山收悟空，心猿出山</x:v>
      </x:c>
      <x:c r="E9" s="27" t="str">
        <x:v>心猿归正</x:v>
      </x:c>
      <x:c r="F9" s="27" t="str">
        <x:v>原文第99回明列</x:v>
      </x:c>
      <x:c r="G9" s="27" t="str">
        <x:v>团队形成</x:v>
      </x:c>
      <x:c r="H9" s="27" t="str">
        <x:v>关键成员归队</x:v>
      </x:c>
      <x:c r="I9" s="27" t="str">
        <x:v>孙悟空、唐僧、刘伯钦</x:v>
      </x:c>
      <x:c r="J9" s="27" t="str">
        <x:v>第99回难簿：兩界山頭第八難</x:v>
      </x:c>
      <x:c r="K9" s="27" t="str">
        <x:v>亦是能力系统启动点</x:v>
      </x:c>
      <x:c r="L9" s="27" t="str">
        <x:v>https://zh.wikisource.org/wiki/西遊記/第099回</x:v>
      </x:c>
      <x:c r="M9" s="27" t="str"/>
    </x:row>
    <x:row r="10">
      <x:c r="A10" s="103" t="n">
        <x:v>9</x:v>
      </x:c>
      <x:c r="B10" s="27" t="str">
        <x:v>陡澗換馬</x:v>
      </x:c>
      <x:c r="C10" s="27" t="str">
        <x:v>第15回</x:v>
      </x:c>
      <x:c r="D10" s="27" t="str">
        <x:v>鹰愁涧小白龙吞马后化马</x:v>
      </x:c>
      <x:c r="E10" s="27" t="str">
        <x:v>意马收缰</x:v>
      </x:c>
      <x:c r="F10" s="27" t="str">
        <x:v>原文第99回明列</x:v>
      </x:c>
      <x:c r="G10" s="27" t="str">
        <x:v>团队形成</x:v>
      </x:c>
      <x:c r="H10" s="27" t="str">
        <x:v>承载系统</x:v>
      </x:c>
      <x:c r="I10" s="27" t="str">
        <x:v>小白龙、唐僧、悟空、观音</x:v>
      </x:c>
      <x:c r="J10" s="27" t="str">
        <x:v>第99回难簿：陡澗換馬第九難</x:v>
      </x:c>
      <x:c r="K10" s="27" t="str">
        <x:v>白龙马作为沉默承载者</x:v>
      </x:c>
      <x:c r="L10" s="27" t="str">
        <x:v>https://zh.wikisource.org/wiki/西遊記/第099回</x:v>
      </x:c>
      <x:c r="M10" s="27" t="str"/>
    </x:row>
    <x:row r="11">
      <x:c r="A11" s="103" t="n">
        <x:v>10</x:v>
      </x:c>
      <x:c r="B11" s="27" t="str">
        <x:v>夜被火燒</x:v>
      </x:c>
      <x:c r="C11" s="27" t="str">
        <x:v>第16回</x:v>
      </x:c>
      <x:c r="D11" s="27" t="str">
        <x:v>观音院夜火，贪念引发火灾</x:v>
      </x:c>
      <x:c r="E11" s="27" t="str">
        <x:v>观音院火灾</x:v>
      </x:c>
      <x:c r="F11" s="27" t="str">
        <x:v>原文第99回明列</x:v>
      </x:c>
      <x:c r="G11" s="27" t="str">
        <x:v>资产/安全风险</x:v>
      </x:c>
      <x:c r="H11" s="27" t="str">
        <x:v>火灾</x:v>
      </x:c>
      <x:c r="I11" s="27" t="str">
        <x:v>金池长老、悟空、唐僧</x:v>
      </x:c>
      <x:c r="J11" s="27" t="str">
        <x:v>第99回难簿：夜被火燒第十難</x:v>
      </x:c>
      <x:c r="K11" s="27" t="str">
        <x:v>与袈裟风险链合并分析</x:v>
      </x:c>
      <x:c r="L11" s="27" t="str">
        <x:v>https://zh.wikisource.org/wiki/西遊記/第099回</x:v>
      </x:c>
      <x:c r="M11" s="27" t="str"/>
    </x:row>
    <x:row r="12">
      <x:c r="A12" s="103" t="n">
        <x:v>11</x:v>
      </x:c>
      <x:c r="B12" s="27" t="str">
        <x:v>失卻袈裟</x:v>
      </x:c>
      <x:c r="C12" s="27" t="str">
        <x:v>第16—17回</x:v>
      </x:c>
      <x:c r="D12" s="27" t="str">
        <x:v>锦襕袈裟被窃，引出黑风山</x:v>
      </x:c>
      <x:c r="E12" s="27" t="str">
        <x:v>黑风山袈裟之难</x:v>
      </x:c>
      <x:c r="F12" s="27" t="str">
        <x:v>原文第99回明列</x:v>
      </x:c>
      <x:c r="G12" s="27" t="str">
        <x:v>资产风险</x:v>
      </x:c>
      <x:c r="H12" s="27" t="str">
        <x:v>宝物失窃</x:v>
      </x:c>
      <x:c r="I12" s="27" t="str">
        <x:v>黑熊精、金池长老、观音</x:v>
      </x:c>
      <x:c r="J12" s="27" t="str">
        <x:v>第99回难簿：失卻袈裟十一難</x:v>
      </x:c>
      <x:c r="K12" s="27" t="str">
        <x:v>可入法宝/资产风险专题</x:v>
      </x:c>
      <x:c r="L12" s="27" t="str">
        <x:v>https://zh.wikisource.org/wiki/西遊記/第099回</x:v>
      </x:c>
      <x:c r="M12" s="27" t="str"/>
    </x:row>
    <x:row r="13">
      <x:c r="A13" s="103" t="n">
        <x:v>12</x:v>
      </x:c>
      <x:c r="B13" s="27" t="str">
        <x:v>收降八戒</x:v>
      </x:c>
      <x:c r="C13" s="27" t="str">
        <x:v>第18—19回</x:v>
      </x:c>
      <x:c r="D13" s="27" t="str">
        <x:v>高老庄收猪八戒入队</x:v>
      </x:c>
      <x:c r="E13" s="27" t="str">
        <x:v>收八戒</x:v>
      </x:c>
      <x:c r="F13" s="27" t="str">
        <x:v>原文第99回明列</x:v>
      </x:c>
      <x:c r="G13" s="27" t="str">
        <x:v>团队形成</x:v>
      </x:c>
      <x:c r="H13" s="27" t="str">
        <x:v>成员招募/欲望治理</x:v>
      </x:c>
      <x:c r="I13" s="27" t="str">
        <x:v>猪八戒、唐僧、悟空、高太公</x:v>
      </x:c>
      <x:c r="J13" s="27" t="str">
        <x:v>第99回难簿：收降八戒十二難</x:v>
      </x:c>
      <x:c r="K13" s="27" t="str">
        <x:v>可支撑“八戒不能被开除”专题</x:v>
      </x:c>
      <x:c r="L13" s="27" t="str">
        <x:v>https://zh.wikisource.org/wiki/西遊記/第099回</x:v>
      </x:c>
      <x:c r="M13" s="27" t="str"/>
    </x:row>
    <x:row r="14">
      <x:c r="A14" s="103" t="n">
        <x:v>13</x:v>
      </x:c>
      <x:c r="B14" s="27" t="str">
        <x:v>黃風怪阻</x:v>
      </x:c>
      <x:c r="C14" s="27" t="str">
        <x:v>第20—21回</x:v>
      </x:c>
      <x:c r="D14" s="27" t="str">
        <x:v>黄风岭受阻，黄风怪以神风制敌</x:v>
      </x:c>
      <x:c r="E14" s="27" t="str">
        <x:v>黄风岭之难</x:v>
      </x:c>
      <x:c r="F14" s="27" t="str">
        <x:v>原文第99回明列</x:v>
      </x:c>
      <x:c r="G14" s="27" t="str">
        <x:v>妖怪风险</x:v>
      </x:c>
      <x:c r="H14" s="27" t="str">
        <x:v>自然/风力攻击</x:v>
      </x:c>
      <x:c r="I14" s="27" t="str">
        <x:v>黄风怪、虎先锋、唐僧、悟空</x:v>
      </x:c>
      <x:c r="J14" s="27" t="str">
        <x:v>第99回难簿：黃風怪阻十三難</x:v>
      </x:c>
      <x:c r="K14" s="27" t="str">
        <x:v>风险升级：能力被特定技能克制</x:v>
      </x:c>
      <x:c r="L14" s="27" t="str">
        <x:v>https://zh.wikisource.org/wiki/西遊記/第099回</x:v>
      </x:c>
      <x:c r="M14" s="27" t="str"/>
    </x:row>
    <x:row r="15">
      <x:c r="A15" s="103" t="n">
        <x:v>14</x:v>
      </x:c>
      <x:c r="B15" s="27" t="str">
        <x:v>請求靈吉</x:v>
      </x:c>
      <x:c r="C15" s="27" t="str">
        <x:v>第21回</x:v>
      </x:c>
      <x:c r="D15" s="27" t="str">
        <x:v>请灵吉菩萨以定风丹/飞龙杖破局</x:v>
      </x:c>
      <x:c r="E15" s="27" t="str">
        <x:v>请求外援</x:v>
      </x:c>
      <x:c r="F15" s="27" t="str">
        <x:v>原文第99回明列</x:v>
      </x:c>
      <x:c r="G15" s="27" t="str">
        <x:v>救援协同</x:v>
      </x:c>
      <x:c r="H15" s="27" t="str">
        <x:v>外部专家</x:v>
      </x:c>
      <x:c r="I15" s="27" t="str">
        <x:v>灵吉菩萨、悟空、黄风怪</x:v>
      </x:c>
      <x:c r="J15" s="27" t="str">
        <x:v>第99回难簿：請求靈吉十四難</x:v>
      </x:c>
      <x:c r="K15" s="27" t="str">
        <x:v>外部专家机制样本</x:v>
      </x:c>
      <x:c r="L15" s="27" t="str">
        <x:v>https://zh.wikisource.org/wiki/西遊記/第099回</x:v>
      </x:c>
      <x:c r="M15" s="27" t="str"/>
    </x:row>
    <x:row r="16">
      <x:c r="A16" s="103" t="n">
        <x:v>15</x:v>
      </x:c>
      <x:c r="B16" s="27" t="str">
        <x:v>流沙難渡</x:v>
      </x:c>
      <x:c r="C16" s="27" t="str">
        <x:v>第22回</x:v>
      </x:c>
      <x:c r="D16" s="27" t="str">
        <x:v>流沙河阻路，渡河困难</x:v>
      </x:c>
      <x:c r="E16" s="27" t="str">
        <x:v>流沙河之难</x:v>
      </x:c>
      <x:c r="F16" s="27" t="str">
        <x:v>原文第99回明列</x:v>
      </x:c>
      <x:c r="G16" s="27" t="str">
        <x:v>自然/妖怪风险</x:v>
      </x:c>
      <x:c r="H16" s="27" t="str">
        <x:v>水域阻隔</x:v>
      </x:c>
      <x:c r="I16" s="27" t="str">
        <x:v>沙悟净、唐僧师徒</x:v>
      </x:c>
      <x:c r="J16" s="27" t="str">
        <x:v>第99回难簿：流沙難渡十五難</x:v>
      </x:c>
      <x:c r="K16" s="27" t="str">
        <x:v>水域风险与团队补员</x:v>
      </x:c>
      <x:c r="L16" s="27" t="str">
        <x:v>https://zh.wikisource.org/wiki/西遊記/第099回</x:v>
      </x:c>
      <x:c r="M16" s="27" t="str"/>
    </x:row>
    <x:row r="17">
      <x:c r="A17" s="103" t="n">
        <x:v>16</x:v>
      </x:c>
      <x:c r="B17" s="27" t="str">
        <x:v>收得沙僧</x:v>
      </x:c>
      <x:c r="C17" s="27" t="str">
        <x:v>第22回</x:v>
      </x:c>
      <x:c r="D17" s="27" t="str">
        <x:v>沙悟净归队，取经团队基本完成</x:v>
      </x:c>
      <x:c r="E17" s="27" t="str">
        <x:v>收沙僧</x:v>
      </x:c>
      <x:c r="F17" s="27" t="str">
        <x:v>原文第99回明列</x:v>
      </x:c>
      <x:c r="G17" s="27" t="str">
        <x:v>团队形成</x:v>
      </x:c>
      <x:c r="H17" s="27" t="str">
        <x:v>稳定执行者入队</x:v>
      </x:c>
      <x:c r="I17" s="27" t="str">
        <x:v>沙悟净、木叉、观音、唐僧</x:v>
      </x:c>
      <x:c r="J17" s="27" t="str">
        <x:v>第99回难簿：收得沙僧十六難</x:v>
      </x:c>
      <x:c r="K17" s="27" t="str">
        <x:v>团队成型收束点</x:v>
      </x:c>
      <x:c r="L17" s="27" t="str">
        <x:v>https://zh.wikisource.org/wiki/西遊記/第099回</x:v>
      </x:c>
      <x:c r="M17" s="27" t="str"/>
    </x:row>
    <x:row r="18">
      <x:c r="A18" s="103" t="n">
        <x:v>17</x:v>
      </x:c>
      <x:c r="B18" s="27" t="str">
        <x:v>四聖顯化</x:v>
      </x:c>
      <x:c r="C18" s="27" t="str">
        <x:v>第23回</x:v>
      </x:c>
      <x:c r="D18" s="27" t="str">
        <x:v>四圣化身试禅心</x:v>
      </x:c>
      <x:c r="E18" s="27" t="str">
        <x:v>四圣试禅心</x:v>
      </x:c>
      <x:c r="F18" s="27" t="str">
        <x:v>原文第99回明列</x:v>
      </x:c>
      <x:c r="G18" s="27" t="str">
        <x:v>价值观测试</x:v>
      </x:c>
      <x:c r="H18" s="27" t="str">
        <x:v>欲望/婚姻诱惑</x:v>
      </x:c>
      <x:c r="I18" s="27" t="str">
        <x:v>黎山老母、观音、文殊、普贤、八戒</x:v>
      </x:c>
      <x:c r="J18" s="27" t="str">
        <x:v>第99回难簿：四聖顯化十七難</x:v>
      </x:c>
      <x:c r="K18" s="27" t="str">
        <x:v>团队成型后的压力测试</x:v>
      </x:c>
      <x:c r="L18" s="27" t="str">
        <x:v>https://zh.wikisource.org/wiki/西遊記/第099回</x:v>
      </x:c>
      <x:c r="M18" s="27" t="str"/>
    </x:row>
    <x:row r="19">
      <x:c r="A19" s="103" t="n">
        <x:v>18</x:v>
      </x:c>
      <x:c r="B19" s="27" t="str">
        <x:v>五莊觀中</x:v>
      </x:c>
      <x:c r="C19" s="27" t="str">
        <x:v>第24—25回</x:v>
      </x:c>
      <x:c r="D19" s="27" t="str">
        <x:v>五庄观人参果冲突</x:v>
      </x:c>
      <x:c r="E19" s="27" t="str">
        <x:v>五庄观之难</x:v>
      </x:c>
      <x:c r="F19" s="27" t="str">
        <x:v>原文第99回明列</x:v>
      </x:c>
      <x:c r="G19" s="27" t="str">
        <x:v>关系风险</x:v>
      </x:c>
      <x:c r="H19" s="27" t="str">
        <x:v>冲突/失礼</x:v>
      </x:c>
      <x:c r="I19" s="27" t="str">
        <x:v>镇元大仙、清风明月、悟空</x:v>
      </x:c>
      <x:c r="J19" s="27" t="str">
        <x:v>第99回难簿：五莊觀中十八難</x:v>
      </x:c>
      <x:c r="K19" s="27" t="str">
        <x:v>冲突管理与补救专题</x:v>
      </x:c>
      <x:c r="L19" s="27" t="str">
        <x:v>https://zh.wikisource.org/wiki/西遊記/第099回</x:v>
      </x:c>
      <x:c r="M19" s="27" t="str"/>
    </x:row>
    <x:row r="20">
      <x:c r="A20" s="103" t="n">
        <x:v>19</x:v>
      </x:c>
      <x:c r="B20" s="27" t="str">
        <x:v>難活人參</x:v>
      </x:c>
      <x:c r="C20" s="27" t="str">
        <x:v>第25—26回</x:v>
      </x:c>
      <x:c r="D20" s="27" t="str">
        <x:v>人参果树推倒后求方复活</x:v>
      </x:c>
      <x:c r="E20" s="27" t="str">
        <x:v>人参果复活</x:v>
      </x:c>
      <x:c r="F20" s="27" t="str">
        <x:v>原文第99回明列</x:v>
      </x:c>
      <x:c r="G20" s="27" t="str">
        <x:v>补救修复</x:v>
      </x:c>
      <x:c r="H20" s="27" t="str">
        <x:v>损害修复</x:v>
      </x:c>
      <x:c r="I20" s="27" t="str">
        <x:v>观音、镇元大仙、悟空</x:v>
      </x:c>
      <x:c r="J20" s="27" t="str">
        <x:v>第99回难簿：難活人參十九難</x:v>
      </x:c>
      <x:c r="K20" s="27" t="str">
        <x:v>修复与和解节点</x:v>
      </x:c>
      <x:c r="L20" s="27" t="str">
        <x:v>https://zh.wikisource.org/wiki/西遊記/第099回</x:v>
      </x:c>
      <x:c r="M20" s="27" t="str"/>
    </x:row>
    <x:row r="21">
      <x:c r="A21" s="103" t="n">
        <x:v>20</x:v>
      </x:c>
      <x:c r="B21" s="27" t="str">
        <x:v>貶退心猿</x:v>
      </x:c>
      <x:c r="C21" s="27" t="str">
        <x:v>第27回</x:v>
      </x:c>
      <x:c r="D21" s="27" t="str">
        <x:v>三打白骨精后唐僧逐退悟空</x:v>
      </x:c>
      <x:c r="E21" s="27" t="str">
        <x:v>三打白骨精/逐猴王</x:v>
      </x:c>
      <x:c r="F21" s="27" t="str">
        <x:v>原文第99回明列</x:v>
      </x:c>
      <x:c r="G21" s="27" t="str">
        <x:v>团队信任风险</x:v>
      </x:c>
      <x:c r="H21" s="27" t="str">
        <x:v>误判/内部噪声</x:v>
      </x:c>
      <x:c r="I21" s="27" t="str">
        <x:v>唐僧、悟空、八戒、白骨精</x:v>
      </x:c>
      <x:c r="J21" s="27" t="str">
        <x:v>第99回难簿：貶退心猿二十難</x:v>
      </x:c>
      <x:c r="K21" s="27" t="str">
        <x:v>经典领导误判样本</x:v>
      </x:c>
      <x:c r="L21" s="27" t="str">
        <x:v>https://zh.wikisource.org/wiki/西遊記/第099回</x:v>
      </x:c>
      <x:c r="M21" s="27" t="str"/>
    </x:row>
    <x:row r="22">
      <x:c r="A22" s="103" t="n">
        <x:v>21</x:v>
      </x:c>
      <x:c r="B22" s="27" t="str">
        <x:v>黑松林失散</x:v>
      </x:c>
      <x:c r="C22" s="27" t="str">
        <x:v>第28回</x:v>
      </x:c>
      <x:c r="D22" s="27" t="str">
        <x:v>悟空离队后，黑松林团队失散</x:v>
      </x:c>
      <x:c r="E22" s="27" t="str">
        <x:v>宝象国前段</x:v>
      </x:c>
      <x:c r="F22" s="27" t="str">
        <x:v>原文第99回明列</x:v>
      </x:c>
      <x:c r="G22" s="27" t="str">
        <x:v>团队失能</x:v>
      </x:c>
      <x:c r="H22" s="27" t="str">
        <x:v>核心成员离队</x:v>
      </x:c>
      <x:c r="I22" s="27" t="str">
        <x:v>唐僧、八戒、沙僧</x:v>
      </x:c>
      <x:c r="J22" s="27" t="str">
        <x:v>第99回难簿：黑松林失散二十一難</x:v>
      </x:c>
      <x:c r="K22" s="27" t="str">
        <x:v>失去关键人才的系统性风险</x:v>
      </x:c>
      <x:c r="L22" s="27" t="str">
        <x:v>https://zh.wikisource.org/wiki/西遊記/第099回</x:v>
      </x:c>
      <x:c r="M22" s="27" t="str"/>
    </x:row>
    <x:row r="23">
      <x:c r="A23" s="103" t="n">
        <x:v>22</x:v>
      </x:c>
      <x:c r="B23" s="27" t="str">
        <x:v>寶象國捎書</x:v>
      </x:c>
      <x:c r="C23" s="27" t="str">
        <x:v>第29—30回</x:v>
      </x:c>
      <x:c r="D23" s="27" t="str">
        <x:v>宝象国危机，百花羞传书求救</x:v>
      </x:c>
      <x:c r="E23" s="27" t="str">
        <x:v>宝象国书信求救</x:v>
      </x:c>
      <x:c r="F23" s="27" t="str">
        <x:v>原文第99回明列</x:v>
      </x:c>
      <x:c r="G23" s="27" t="str">
        <x:v>救援协同</x:v>
      </x:c>
      <x:c r="H23" s="27" t="str">
        <x:v>信息传递</x:v>
      </x:c>
      <x:c r="I23" s="27" t="str">
        <x:v>百花羞、唐僧、宝象国王</x:v>
      </x:c>
      <x:c r="J23" s="27" t="str">
        <x:v>第99回难簿：寶象國捎書二十二難</x:v>
      </x:c>
      <x:c r="K23" s="27" t="str">
        <x:v>危机中的信息链</x:v>
      </x:c>
      <x:c r="L23" s="27" t="str">
        <x:v>https://zh.wikisource.org/wiki/西遊記/第099回</x:v>
      </x:c>
      <x:c r="M23" s="27" t="str"/>
    </x:row>
    <x:row r="24">
      <x:c r="A24" s="103" t="n">
        <x:v>23</x:v>
      </x:c>
      <x:c r="B24" s="27" t="str">
        <x:v>金鑾殿變虎</x:v>
      </x:c>
      <x:c r="C24" s="27" t="str">
        <x:v>第30回</x:v>
      </x:c>
      <x:c r="D24" s="27" t="str">
        <x:v>黄袍怪将唐僧变虎，王廷误判</x:v>
      </x:c>
      <x:c r="E24" s="27" t="str">
        <x:v>金銮殿变虎</x:v>
      </x:c>
      <x:c r="F24" s="27" t="str">
        <x:v>原文第99回明列</x:v>
      </x:c>
      <x:c r="G24" s="27" t="str">
        <x:v>身份/合法性风险</x:v>
      </x:c>
      <x:c r="H24" s="27" t="str">
        <x:v>变形冒名</x:v>
      </x:c>
      <x:c r="I24" s="27" t="str">
        <x:v>黄袍怪、唐僧、宝象国王</x:v>
      </x:c>
      <x:c r="J24" s="27" t="str">
        <x:v>第99回难簿：金鑾殿變虎二十三難</x:v>
      </x:c>
      <x:c r="K24" s="27" t="str">
        <x:v>身份误判与制度场景</x:v>
      </x:c>
      <x:c r="L24" s="27" t="str">
        <x:v>https://zh.wikisource.org/wiki/西遊記/第099回</x:v>
      </x:c>
      <x:c r="M24" s="27" t="str"/>
    </x:row>
    <x:row r="25">
      <x:c r="A25" s="103" t="n">
        <x:v>24</x:v>
      </x:c>
      <x:c r="B25" s="27" t="str">
        <x:v>平頂山逢魔</x:v>
      </x:c>
      <x:c r="C25" s="27" t="str">
        <x:v>第32—35回</x:v>
      </x:c>
      <x:c r="D25" s="27" t="str">
        <x:v>平顶山遇金角银角</x:v>
      </x:c>
      <x:c r="E25" s="27" t="str">
        <x:v>莲花洞段</x:v>
      </x:c>
      <x:c r="F25" s="27" t="str">
        <x:v>原文第99回明列</x:v>
      </x:c>
      <x:c r="G25" s="27" t="str">
        <x:v>后台妖怪风险</x:v>
      </x:c>
      <x:c r="H25" s="27" t="str">
        <x:v>太上老君系统外溢</x:v>
      </x:c>
      <x:c r="I25" s="27" t="str">
        <x:v>金角、银角、悟空</x:v>
      </x:c>
      <x:c r="J25" s="27" t="str">
        <x:v>第99回难簿：平頂山逢魔二十四難</x:v>
      </x:c>
      <x:c r="K25" s="27" t="str">
        <x:v>法宝资源外溢专题</x:v>
      </x:c>
      <x:c r="L25" s="27" t="str">
        <x:v>https://zh.wikisource.org/wiki/西遊記/第099回</x:v>
      </x:c>
      <x:c r="M25" s="27" t="str"/>
    </x:row>
    <x:row r="26">
      <x:c r="A26" s="103" t="n">
        <x:v>25</x:v>
      </x:c>
      <x:c r="B26" s="27" t="str">
        <x:v>蓮花洞高懸</x:v>
      </x:c>
      <x:c r="C26" s="27" t="str">
        <x:v>第33—35回</x:v>
      </x:c>
      <x:c r="D26" s="27" t="str">
        <x:v>唐僧等被吊缚，悟空骗宝反制</x:v>
      </x:c>
      <x:c r="E26" s="27" t="str">
        <x:v>莲花洞高悬</x:v>
      </x:c>
      <x:c r="F26" s="27" t="str">
        <x:v>原文第99回明列</x:v>
      </x:c>
      <x:c r="G26" s="27" t="str">
        <x:v>法宝/控制风险</x:v>
      </x:c>
      <x:c r="H26" s="27" t="str">
        <x:v>拘禁/高悬</x:v>
      </x:c>
      <x:c r="I26" s="27" t="str">
        <x:v>金角、银角、唐僧师徒</x:v>
      </x:c>
      <x:c r="J26" s="27" t="str">
        <x:v>第99回难簿：蓮花洞高懸二十五難</x:v>
      </x:c>
      <x:c r="K26" s="27" t="str">
        <x:v>法宝陷阱与规则陷阱</x:v>
      </x:c>
      <x:c r="L26" s="27" t="str">
        <x:v>https://zh.wikisource.org/wiki/西遊記/第099回</x:v>
      </x:c>
      <x:c r="M26" s="27" t="str"/>
    </x:row>
    <x:row r="27">
      <x:c r="A27" s="103" t="n">
        <x:v>26</x:v>
      </x:c>
      <x:c r="B27" s="27" t="str">
        <x:v>烏雞國救主</x:v>
      </x:c>
      <x:c r="C27" s="27" t="str">
        <x:v>第36—39回</x:v>
      </x:c>
      <x:c r="D27" s="27" t="str">
        <x:v>乌鸡国真王托梦复位</x:v>
      </x:c>
      <x:c r="E27" s="27" t="str">
        <x:v>乌鸡国真假王权</x:v>
      </x:c>
      <x:c r="F27" s="27" t="str">
        <x:v>原文第99回明列</x:v>
      </x:c>
      <x:c r="G27" s="27" t="str">
        <x:v>政治合法性</x:v>
      </x:c>
      <x:c r="H27" s="27" t="str">
        <x:v>冤案昭雪</x:v>
      </x:c>
      <x:c r="I27" s="27" t="str">
        <x:v>乌鸡国王、太子、井龙王、悟空</x:v>
      </x:c>
      <x:c r="J27" s="27" t="str">
        <x:v>第99回难簿：烏雞國救主二十六難</x:v>
      </x:c>
      <x:c r="K27" s="27" t="str">
        <x:v>证据链与复位流程</x:v>
      </x:c>
      <x:c r="L27" s="27" t="str">
        <x:v>https://zh.wikisource.org/wiki/西遊記/第099回</x:v>
      </x:c>
      <x:c r="M27" s="27" t="str"/>
    </x:row>
    <x:row r="28">
      <x:c r="A28" s="103" t="n">
        <x:v>27</x:v>
      </x:c>
      <x:c r="B28" s="27" t="str">
        <x:v>被魔化身</x:v>
      </x:c>
      <x:c r="C28" s="27" t="str">
        <x:v>第39回</x:v>
      </x:c>
      <x:c r="D28" s="27" t="str">
        <x:v>妖魔化身篡位/冒名，真假难辨</x:v>
      </x:c>
      <x:c r="E28" s="27" t="str">
        <x:v>青毛狮化身</x:v>
      </x:c>
      <x:c r="F28" s="27" t="str">
        <x:v>原文第99回明列</x:v>
      </x:c>
      <x:c r="G28" s="27" t="str">
        <x:v>身份风险</x:v>
      </x:c>
      <x:c r="H28" s="27" t="str">
        <x:v>冒名顶替</x:v>
      </x:c>
      <x:c r="I28" s="27" t="str">
        <x:v>青毛狮子、文殊、乌鸡国王</x:v>
      </x:c>
      <x:c r="J28" s="27" t="str">
        <x:v>第99回难簿：被魔化身二十七難</x:v>
      </x:c>
      <x:c r="K28" s="27" t="str">
        <x:v>与真假王权合并分析</x:v>
      </x:c>
      <x:c r="L28" s="27" t="str">
        <x:v>https://zh.wikisource.org/wiki/西遊記/第099回</x:v>
      </x:c>
      <x:c r="M28" s="27" t="str"/>
    </x:row>
    <x:row r="29">
      <x:c r="A29" s="103" t="n">
        <x:v>28</x:v>
      </x:c>
      <x:c r="B29" s="27" t="str">
        <x:v>號山逢怪</x:v>
      </x:c>
      <x:c r="C29" s="27" t="str">
        <x:v>第40回</x:v>
      </x:c>
      <x:c r="D29" s="27" t="str">
        <x:v>号山火云洞红孩儿登场</x:v>
      </x:c>
      <x:c r="E29" s="27" t="str">
        <x:v>红孩儿段</x:v>
      </x:c>
      <x:c r="F29" s="27" t="str">
        <x:v>原文第99回明列</x:v>
      </x:c>
      <x:c r="G29" s="27" t="str">
        <x:v>家族势力风险</x:v>
      </x:c>
      <x:c r="H29" s="27" t="str">
        <x:v>少年化妖</x:v>
      </x:c>
      <x:c r="I29" s="27" t="str">
        <x:v>红孩儿、唐僧、悟空</x:v>
      </x:c>
      <x:c r="J29" s="27" t="str">
        <x:v>第99回难簿：號山逢怪二十八難</x:v>
      </x:c>
      <x:c r="K29" s="27" t="str">
        <x:v>牛魔王家族链条起点</x:v>
      </x:c>
      <x:c r="L29" s="27" t="str">
        <x:v>https://zh.wikisource.org/wiki/西遊記/第099回</x:v>
      </x:c>
      <x:c r="M29" s="27" t="str"/>
    </x:row>
    <x:row r="30">
      <x:c r="A30" s="103" t="n">
        <x:v>29</x:v>
      </x:c>
      <x:c r="B30" s="27" t="str">
        <x:v>風攝聖僧</x:v>
      </x:c>
      <x:c r="C30" s="27" t="str">
        <x:v>第40—41回</x:v>
      </x:c>
      <x:c r="D30" s="27" t="str">
        <x:v>红孩儿以风摄唐僧入洞</x:v>
      </x:c>
      <x:c r="E30" s="27" t="str">
        <x:v>红孩儿擒僧</x:v>
      </x:c>
      <x:c r="F30" s="27" t="str">
        <x:v>原文第99回明列</x:v>
      </x:c>
      <x:c r="G30" s="27" t="str">
        <x:v>擒获风险</x:v>
      </x:c>
      <x:c r="H30" s="27" t="str">
        <x:v>远程摄取/诱捕</x:v>
      </x:c>
      <x:c r="I30" s="27" t="str">
        <x:v>红孩儿、唐僧</x:v>
      </x:c>
      <x:c r="J30" s="27" t="str">
        <x:v>第99回难簿：風攝聖僧二十九難</x:v>
      </x:c>
      <x:c r="K30" s="27" t="str">
        <x:v>擒获机制样本</x:v>
      </x:c>
      <x:c r="L30" s="27" t="str">
        <x:v>https://zh.wikisource.org/wiki/西遊記/第099回</x:v>
      </x:c>
      <x:c r="M30" s="27" t="str"/>
    </x:row>
    <x:row r="31">
      <x:c r="A31" s="103" t="n">
        <x:v>30</x:v>
      </x:c>
      <x:c r="B31" s="27" t="str">
        <x:v>心猿遭害</x:v>
      </x:c>
      <x:c r="C31" s="27" t="str">
        <x:v>第41回</x:v>
      </x:c>
      <x:c r="D31" s="27" t="str">
        <x:v>悟空遭三昧真火所害</x:v>
      </x:c>
      <x:c r="E31" s="27" t="str">
        <x:v>三昧真火</x:v>
      </x:c>
      <x:c r="F31" s="27" t="str">
        <x:v>原文第99回明列</x:v>
      </x:c>
      <x:c r="G31" s="27" t="str">
        <x:v>能力克制</x:v>
      </x:c>
      <x:c r="H31" s="27" t="str">
        <x:v>火攻/伤害</x:v>
      </x:c>
      <x:c r="I31" s="27" t="str">
        <x:v>红孩儿、悟空</x:v>
      </x:c>
      <x:c r="J31" s="27" t="str">
        <x:v>第99回难簿：心猿遭害三十難</x:v>
      </x:c>
      <x:c r="K31" s="27" t="str">
        <x:v>强能力被专门技术克制</x:v>
      </x:c>
      <x:c r="L31" s="27" t="str">
        <x:v>https://zh.wikisource.org/wiki/西遊記/第099回</x:v>
      </x:c>
      <x:c r="M31" s="27" t="str"/>
    </x:row>
    <x:row r="32">
      <x:c r="A32" s="103" t="n">
        <x:v>31</x:v>
      </x:c>
      <x:c r="B32" s="27" t="str">
        <x:v>請聖降妖</x:v>
      </x:c>
      <x:c r="C32" s="27" t="str">
        <x:v>第42回</x:v>
      </x:c>
      <x:c r="D32" s="27" t="str">
        <x:v>请观音收红孩儿为善财童子</x:v>
      </x:c>
      <x:c r="E32" s="27" t="str">
        <x:v>观音收红孩儿</x:v>
      </x:c>
      <x:c r="F32" s="27" t="str">
        <x:v>原文第99回明列</x:v>
      </x:c>
      <x:c r="G32" s="27" t="str">
        <x:v>救援收编</x:v>
      </x:c>
      <x:c r="H32" s="27" t="str">
        <x:v>外部权威收束</x:v>
      </x:c>
      <x:c r="I32" s="27" t="str">
        <x:v>观音、红孩儿、悟空</x:v>
      </x:c>
      <x:c r="J32" s="27" t="str">
        <x:v>第99回难簿：請聖降妖三十一難</x:v>
      </x:c>
      <x:c r="K32" s="27" t="str">
        <x:v>失控能力的外部收编</x:v>
      </x:c>
      <x:c r="L32" s="27" t="str">
        <x:v>https://zh.wikisource.org/wiki/西遊記/第099回</x:v>
      </x:c>
      <x:c r="M32" s="27" t="str"/>
    </x:row>
    <x:row r="33">
      <x:c r="A33" s="103" t="n">
        <x:v>32</x:v>
      </x:c>
      <x:c r="B33" s="27" t="str">
        <x:v>黑河沉沒</x:v>
      </x:c>
      <x:c r="C33" s="27" t="str">
        <x:v>第43回</x:v>
      </x:c>
      <x:c r="D33" s="27" t="str">
        <x:v>黑水河鼍龙擒唐僧</x:v>
      </x:c>
      <x:c r="E33" s="27" t="str">
        <x:v>黑水河之难</x:v>
      </x:c>
      <x:c r="F33" s="27" t="str">
        <x:v>原文第99回明列</x:v>
      </x:c>
      <x:c r="G33" s="27" t="str">
        <x:v>亲属后台风险</x:v>
      </x:c>
      <x:c r="H33" s="27" t="str">
        <x:v>水域劫持</x:v>
      </x:c>
      <x:c r="I33" s="27" t="str">
        <x:v>鼍龙、西海龙王、摩昂太子</x:v>
      </x:c>
      <x:c r="J33" s="27" t="str">
        <x:v>第99回难簿：黑河沉沒三十二難</x:v>
      </x:c>
      <x:c r="K33" s="27" t="str">
        <x:v>龙族亲属失管</x:v>
      </x:c>
      <x:c r="L33" s="27" t="str">
        <x:v>https://zh.wikisource.org/wiki/西遊記/第099回</x:v>
      </x:c>
      <x:c r="M33" s="27" t="str"/>
    </x:row>
    <x:row r="34">
      <x:c r="A34" s="103" t="n">
        <x:v>33</x:v>
      </x:c>
      <x:c r="B34" s="27" t="str">
        <x:v>搬運車遲</x:v>
      </x:c>
      <x:c r="C34" s="27" t="str">
        <x:v>第44回</x:v>
      </x:c>
      <x:c r="D34" s="27" t="str">
        <x:v>车迟国斗法前，需办理倒换关文</x:v>
      </x:c>
      <x:c r="E34" s="27" t="str">
        <x:v>车迟国前置</x:v>
      </x:c>
      <x:c r="F34" s="27" t="str">
        <x:v>原文第99回明列</x:v>
      </x:c>
      <x:c r="G34" s="27" t="str">
        <x:v>制度流程</x:v>
      </x:c>
      <x:c r="H34" s="27" t="str">
        <x:v>通关文牒/政务阻滞</x:v>
      </x:c>
      <x:c r="I34" s="27" t="str">
        <x:v>车迟国王、三大仙、唐僧师徒</x:v>
      </x:c>
      <x:c r="J34" s="27" t="str">
        <x:v>第99回难簿：搬運車遲三十三難</x:v>
      </x:c>
      <x:c r="K34" s="27" t="str">
        <x:v>可解释为通关制度阻滞</x:v>
      </x:c>
      <x:c r="L34" s="27" t="str">
        <x:v>https://zh.wikisource.org/wiki/西遊記/第099回</x:v>
      </x:c>
      <x:c r="M34" s="27" t="str"/>
    </x:row>
    <x:row r="35">
      <x:c r="A35" s="103" t="n">
        <x:v>34</x:v>
      </x:c>
      <x:c r="B35" s="27" t="str">
        <x:v>大賭輸贏</x:v>
      </x:c>
      <x:c r="C35" s="27" t="str">
        <x:v>第45—46回</x:v>
      </x:c>
      <x:c r="D35" s="27" t="str">
        <x:v>车迟国与三大仙赌斗</x:v>
      </x:c>
      <x:c r="E35" s="27" t="str">
        <x:v>车迟国斗法</x:v>
      </x:c>
      <x:c r="F35" s="27" t="str">
        <x:v>原文第99回明列</x:v>
      </x:c>
      <x:c r="G35" s="27" t="str">
        <x:v>伪权威风险</x:v>
      </x:c>
      <x:c r="H35" s="27" t="str">
        <x:v>公开赌斗/考验</x:v>
      </x:c>
      <x:c r="I35" s="27" t="str">
        <x:v>虎力、鹿力、羊力、悟空</x:v>
      </x:c>
      <x:c r="J35" s="27" t="str">
        <x:v>第99回难簿：大賭輸贏三十四難</x:v>
      </x:c>
      <x:c r="K35" s="27" t="str">
        <x:v>斗法规则与政治合法性</x:v>
      </x:c>
      <x:c r="L35" s="27" t="str">
        <x:v>https://zh.wikisource.org/wiki/西遊記/第099回</x:v>
      </x:c>
      <x:c r="M35" s="27" t="str"/>
    </x:row>
    <x:row r="36">
      <x:c r="A36" s="103" t="n">
        <x:v>35</x:v>
      </x:c>
      <x:c r="B36" s="27" t="str">
        <x:v>祛道興僧</x:v>
      </x:c>
      <x:c r="C36" s="27" t="str">
        <x:v>第46回</x:v>
      </x:c>
      <x:c r="D36" s="27" t="str">
        <x:v>车迟国去伪道、兴佛法</x:v>
      </x:c>
      <x:c r="E36" s="27" t="str">
        <x:v>车迟国收束</x:v>
      </x:c>
      <x:c r="F36" s="27" t="str">
        <x:v>原文第99回明列</x:v>
      </x:c>
      <x:c r="G36" s="27" t="str">
        <x:v>制度修复</x:v>
      </x:c>
      <x:c r="H36" s="27" t="str">
        <x:v>宗教秩序调整</x:v>
      </x:c>
      <x:c r="I36" s="27" t="str">
        <x:v>车迟国王、唐僧师徒</x:v>
      </x:c>
      <x:c r="J36" s="27" t="str">
        <x:v>第99回难簿：祛道興僧三十五難</x:v>
      </x:c>
      <x:c r="K36" s="27" t="str">
        <x:v>伪权威清理</x:v>
      </x:c>
      <x:c r="L36" s="27" t="str">
        <x:v>https://zh.wikisource.org/wiki/西遊記/第099回</x:v>
      </x:c>
      <x:c r="M36" s="27" t="str"/>
    </x:row>
    <x:row r="37">
      <x:c r="A37" s="103" t="n">
        <x:v>36</x:v>
      </x:c>
      <x:c r="B37" s="27" t="str">
        <x:v>路逢大水</x:v>
      </x:c>
      <x:c r="C37" s="27" t="str">
        <x:v>第47回</x:v>
      </x:c>
      <x:c r="D37" s="27" t="str">
        <x:v>通天河水阻路</x:v>
      </x:c>
      <x:c r="E37" s="27" t="str">
        <x:v>通天河前段</x:v>
      </x:c>
      <x:c r="F37" s="27" t="str">
        <x:v>原文第99回明列</x:v>
      </x:c>
      <x:c r="G37" s="27" t="str">
        <x:v>自然/地方治理</x:v>
      </x:c>
      <x:c r="H37" s="27" t="str">
        <x:v>水域阻隔</x:v>
      </x:c>
      <x:c r="I37" s="27" t="str">
        <x:v>通天河、陈家庄</x:v>
      </x:c>
      <x:c r="J37" s="27" t="str">
        <x:v>第99回难簿：路逢大水三十六難</x:v>
      </x:c>
      <x:c r="K37" s="27" t="str">
        <x:v>地方祭祀型风险前置</x:v>
      </x:c>
      <x:c r="L37" s="27" t="str">
        <x:v>https://zh.wikisource.org/wiki/西遊記/第099回</x:v>
      </x:c>
      <x:c r="M37" s="27" t="str"/>
    </x:row>
    <x:row r="38">
      <x:c r="A38" s="103" t="n">
        <x:v>37</x:v>
      </x:c>
      <x:c r="B38" s="27" t="str">
        <x:v>身落天河</x:v>
      </x:c>
      <x:c r="C38" s="27" t="str">
        <x:v>第48回</x:v>
      </x:c>
      <x:c r="D38" s="27" t="str">
        <x:v>唐僧被灵感大王擒至水府</x:v>
      </x:c>
      <x:c r="E38" s="27" t="str">
        <x:v>通天河灵感大王</x:v>
      </x:c>
      <x:c r="F38" s="27" t="str">
        <x:v>原文第99回明列</x:v>
      </x:c>
      <x:c r="G38" s="27" t="str">
        <x:v>擒获风险</x:v>
      </x:c>
      <x:c r="H38" s="27" t="str">
        <x:v>水域劫持</x:v>
      </x:c>
      <x:c r="I38" s="27" t="str">
        <x:v>灵感大王、唐僧</x:v>
      </x:c>
      <x:c r="J38" s="27" t="str">
        <x:v>第99回难簿：身落天河三十七難</x:v>
      </x:c>
      <x:c r="K38" s="27" t="str">
        <x:v>与祭祀儿童风险关联</x:v>
      </x:c>
      <x:c r="L38" s="27" t="str">
        <x:v>https://zh.wikisource.org/wiki/西遊記/第099回</x:v>
      </x:c>
      <x:c r="M38" s="27" t="str"/>
    </x:row>
    <x:row r="39">
      <x:c r="A39" s="103" t="n">
        <x:v>38</x:v>
      </x:c>
      <x:c r="B39" s="27" t="str">
        <x:v>魚籃現身</x:v>
      </x:c>
      <x:c r="C39" s="27" t="str">
        <x:v>第49回</x:v>
      </x:c>
      <x:c r="D39" s="27" t="str">
        <x:v>观音鱼篮现身收伏灵感大王</x:v>
      </x:c>
      <x:c r="E39" s="27" t="str">
        <x:v>观音收鲤鱼精</x:v>
      </x:c>
      <x:c r="F39" s="27" t="str">
        <x:v>原文第99回明列</x:v>
      </x:c>
      <x:c r="G39" s="27" t="str">
        <x:v>救援收束</x:v>
      </x:c>
      <x:c r="H39" s="27" t="str">
        <x:v>佛门后台</x:v>
      </x:c>
      <x:c r="I39" s="27" t="str">
        <x:v>观音、灵感大王、悟空</x:v>
      </x:c>
      <x:c r="J39" s="27" t="str">
        <x:v>第99回难簿：魚籃現身三十八難</x:v>
      </x:c>
      <x:c r="K39" s="27" t="str">
        <x:v>佛门后台妖怪样本</x:v>
      </x:c>
      <x:c r="L39" s="27" t="str">
        <x:v>https://zh.wikisource.org/wiki/西遊記/第099回</x:v>
      </x:c>
      <x:c r="M39" s="27" t="str"/>
    </x:row>
    <x:row r="40">
      <x:c r="A40" s="103" t="n">
        <x:v>39</x:v>
      </x:c>
      <x:c r="B40" s="27" t="str">
        <x:v>兜山遇怪</x:v>
      </x:c>
      <x:c r="C40" s="27" t="str">
        <x:v>第50回</x:v>
      </x:c>
      <x:c r="D40" s="27" t="str">
        <x:v>金兜洞独角兕大王出现</x:v>
      </x:c>
      <x:c r="E40" s="27" t="str">
        <x:v>金兜洞段</x:v>
      </x:c>
      <x:c r="F40" s="27" t="str">
        <x:v>原文第99回明列</x:v>
      </x:c>
      <x:c r="G40" s="27" t="str">
        <x:v>法宝风险</x:v>
      </x:c>
      <x:c r="H40" s="27" t="str">
        <x:v>老君青牛/金刚琢</x:v>
      </x:c>
      <x:c r="I40" s="27" t="str">
        <x:v>独角兕、悟空、诸神</x:v>
      </x:c>
      <x:c r="J40" s="27" t="str">
        <x:v>第99回难簿：兜山遇怪三十九難</x:v>
      </x:c>
      <x:c r="K40" s="27" t="str">
        <x:v>原文异体字需校勘</x:v>
      </x:c>
      <x:c r="L40" s="27" t="str">
        <x:v>https://zh.wikisource.org/wiki/西遊記/第099回</x:v>
      </x:c>
      <x:c r="M40" s="27" t="str"/>
    </x:row>
    <x:row r="41">
      <x:c r="A41" s="103" t="n">
        <x:v>40</x:v>
      </x:c>
      <x:c r="B41" s="27" t="str">
        <x:v>普天神難伏</x:v>
      </x:c>
      <x:c r="C41" s="27" t="str">
        <x:v>第51回</x:v>
      </x:c>
      <x:c r="D41" s="27" t="str">
        <x:v>诸天神将难以收伏青牛</x:v>
      </x:c>
      <x:c r="E41" s="27" t="str">
        <x:v>多方救援失效</x:v>
      </x:c>
      <x:c r="F41" s="27" t="str">
        <x:v>原文第99回明列</x:v>
      </x:c>
      <x:c r="G41" s="27" t="str">
        <x:v>救援失效</x:v>
      </x:c>
      <x:c r="H41" s="27" t="str">
        <x:v>法宝压制</x:v>
      </x:c>
      <x:c r="I41" s="27" t="str">
        <x:v>天兵天将、悟空、青牛</x:v>
      </x:c>
      <x:c r="J41" s="27" t="str">
        <x:v>第99回难簿：普天神難伏四十難</x:v>
      </x:c>
      <x:c r="K41" s="27" t="str">
        <x:v>金刚琢压制一切武力</x:v>
      </x:c>
      <x:c r="L41" s="27" t="str">
        <x:v>https://zh.wikisource.org/wiki/西遊記/第099回</x:v>
      </x:c>
      <x:c r="M41" s="27" t="str"/>
    </x:row>
    <x:row r="42">
      <x:c r="A42" s="103" t="n">
        <x:v>41</x:v>
      </x:c>
      <x:c r="B42" s="27" t="str">
        <x:v>問佛根源</x:v>
      </x:c>
      <x:c r="C42" s="27" t="str">
        <x:v>第52回</x:v>
      </x:c>
      <x:c r="D42" s="27" t="str">
        <x:v>悟空问佛根源，知青牛来历</x:v>
      </x:c>
      <x:c r="E42" s="27" t="str">
        <x:v>如来点破根源</x:v>
      </x:c>
      <x:c r="F42" s="27" t="str">
        <x:v>原文第99回明列</x:v>
      </x:c>
      <x:c r="G42" s="27" t="str">
        <x:v>根因追溯</x:v>
      </x:c>
      <x:c r="H42" s="27" t="str">
        <x:v>后台识别</x:v>
      </x:c>
      <x:c r="I42" s="27" t="str">
        <x:v>如来、悟空、太上老君</x:v>
      </x:c>
      <x:c r="J42" s="27" t="str">
        <x:v>第99回难簿：問佛根源四十一難</x:v>
      </x:c>
      <x:c r="K42" s="27" t="str">
        <x:v>风险根因分析样本</x:v>
      </x:c>
      <x:c r="L42" s="27" t="str">
        <x:v>https://zh.wikisource.org/wiki/西遊記/第099回</x:v>
      </x:c>
      <x:c r="M42" s="27" t="str"/>
    </x:row>
    <x:row r="43">
      <x:c r="A43" s="103" t="n">
        <x:v>42</x:v>
      </x:c>
      <x:c r="B43" s="27" t="str">
        <x:v>吃水遭毒</x:v>
      </x:c>
      <x:c r="C43" s="27" t="str">
        <x:v>第53回</x:v>
      </x:c>
      <x:c r="D43" s="27" t="str">
        <x:v>子母河饮水成胎</x:v>
      </x:c>
      <x:c r="E43" s="27" t="str">
        <x:v>西梁女国前段</x:v>
      </x:c>
      <x:c r="F43" s="27" t="str">
        <x:v>原文第99回明列</x:v>
      </x:c>
      <x:c r="G43" s="27" t="str">
        <x:v>身体风险</x:v>
      </x:c>
      <x:c r="H43" s="27" t="str">
        <x:v>生理困局</x:v>
      </x:c>
      <x:c r="I43" s="27" t="str">
        <x:v>唐僧、八戒、子母河</x:v>
      </x:c>
      <x:c r="J43" s="27" t="str">
        <x:v>第99回难簿：吃水遭毒四十二難</x:v>
      </x:c>
      <x:c r="K43" s="27" t="str">
        <x:v>修行离不开身体</x:v>
      </x:c>
      <x:c r="L43" s="27" t="str">
        <x:v>https://zh.wikisource.org/wiki/西遊記/第099回</x:v>
      </x:c>
      <x:c r="M43" s="27" t="str"/>
    </x:row>
    <x:row r="44">
      <x:c r="A44" s="103" t="n">
        <x:v>43</x:v>
      </x:c>
      <x:c r="B44" s="27" t="str">
        <x:v>西梁國留婚</x:v>
      </x:c>
      <x:c r="C44" s="27" t="str">
        <x:v>第54回</x:v>
      </x:c>
      <x:c r="D44" s="27" t="str">
        <x:v>女儿国招赘留婚</x:v>
      </x:c>
      <x:c r="E44" s="27" t="str">
        <x:v>女儿国留婚</x:v>
      </x:c>
      <x:c r="F44" s="27" t="str">
        <x:v>原文第99回明列</x:v>
      </x:c>
      <x:c r="G44" s="27" t="str">
        <x:v>欲望/关系风险</x:v>
      </x:c>
      <x:c r="H44" s="27" t="str">
        <x:v>柔性诱惑</x:v>
      </x:c>
      <x:c r="I44" s="27" t="str">
        <x:v>女儿国王、唐僧</x:v>
      </x:c>
      <x:c r="J44" s="27" t="str">
        <x:v>第99回难簿：西梁國留婚四十三難</x:v>
      </x:c>
      <x:c r="K44" s="27" t="str">
        <x:v>比妖怪更难的柔性诱惑</x:v>
      </x:c>
      <x:c r="L44" s="27" t="str">
        <x:v>https://zh.wikisource.org/wiki/西遊記/第099回</x:v>
      </x:c>
      <x:c r="M44" s="27" t="str"/>
    </x:row>
    <x:row r="45">
      <x:c r="A45" s="103" t="n">
        <x:v>44</x:v>
      </x:c>
      <x:c r="B45" s="27" t="str">
        <x:v>琵琶洞受苦</x:v>
      </x:c>
      <x:c r="C45" s="27" t="str">
        <x:v>第55回</x:v>
      </x:c>
      <x:c r="D45" s="27" t="str">
        <x:v>蝎子精劫唐僧入琵琶洞</x:v>
      </x:c>
      <x:c r="E45" s="27" t="str">
        <x:v>蝎子精之难</x:v>
      </x:c>
      <x:c r="F45" s="27" t="str">
        <x:v>原文第99回明列</x:v>
      </x:c>
      <x:c r="G45" s="27" t="str">
        <x:v>欲望/攻击合一</x:v>
      </x:c>
      <x:c r="H45" s="27" t="str">
        <x:v>毒刺伤害</x:v>
      </x:c>
      <x:c r="I45" s="27" t="str">
        <x:v>蝎子精、唐僧、悟空、昴日星官</x:v>
      </x:c>
      <x:c r="J45" s="27" t="str">
        <x:v>第99回难簿：琵琶洞受苦四十四難</x:v>
      </x:c>
      <x:c r="K45" s="27" t="str">
        <x:v>诱惑与攻击合一</x:v>
      </x:c>
      <x:c r="L45" s="27" t="str">
        <x:v>https://zh.wikisource.org/wiki/西遊記/第099回</x:v>
      </x:c>
      <x:c r="M45" s="27" t="str"/>
    </x:row>
    <x:row r="46">
      <x:c r="A46" s="103" t="n">
        <x:v>45</x:v>
      </x:c>
      <x:c r="B46" s="27" t="str">
        <x:v>再貶心猿</x:v>
      </x:c>
      <x:c r="C46" s="27" t="str">
        <x:v>第56回</x:v>
      </x:c>
      <x:c r="D46" s="27" t="str">
        <x:v>悟空因打杀草寇再遭误解/驱逐</x:v>
      </x:c>
      <x:c r="E46" s="27" t="str">
        <x:v>放心猿段</x:v>
      </x:c>
      <x:c r="F46" s="27" t="str">
        <x:v>原文第99回明列</x:v>
      </x:c>
      <x:c r="G46" s="27" t="str">
        <x:v>团队信任风险</x:v>
      </x:c>
      <x:c r="H46" s="27" t="str">
        <x:v>执行尺度冲突</x:v>
      </x:c>
      <x:c r="I46" s="27" t="str">
        <x:v>唐僧、悟空、草寇</x:v>
      </x:c>
      <x:c r="J46" s="27" t="str">
        <x:v>第99回难簿：再貶心猿四十五難</x:v>
      </x:c>
      <x:c r="K46" s="27" t="str">
        <x:v>第二次逐猴，信任裂缝加深</x:v>
      </x:c>
      <x:c r="L46" s="27" t="str">
        <x:v>https://zh.wikisource.org/wiki/西遊記/第099回</x:v>
      </x:c>
      <x:c r="M46" s="27" t="str"/>
    </x:row>
    <x:row r="47">
      <x:c r="A47" s="103" t="n">
        <x:v>46</x:v>
      </x:c>
      <x:c r="B47" s="27" t="str">
        <x:v>難辨獼猴</x:v>
      </x:c>
      <x:c r="C47" s="27" t="str">
        <x:v>第57—58回</x:v>
      </x:c>
      <x:c r="D47" s="27" t="str">
        <x:v>真假美猴王，六耳猕猴难辨</x:v>
      </x:c>
      <x:c r="E47" s="27" t="str">
        <x:v>真假美猴王</x:v>
      </x:c>
      <x:c r="F47" s="27" t="str">
        <x:v>原文第99回明列</x:v>
      </x:c>
      <x:c r="G47" s="27" t="str">
        <x:v>身份/心性风险</x:v>
      </x:c>
      <x:c r="H47" s="27" t="str">
        <x:v>二心/复制</x:v>
      </x:c>
      <x:c r="I47" s="27" t="str">
        <x:v>孙悟空、六耳猕猴、谛听、如来</x:v>
      </x:c>
      <x:c r="J47" s="27" t="str">
        <x:v>第99回难簿：難辨獼猴四十六難</x:v>
      </x:c>
      <x:c r="K47" s="27" t="str">
        <x:v>全书心性高峰之一</x:v>
      </x:c>
      <x:c r="L47" s="27" t="str">
        <x:v>https://zh.wikisource.org/wiki/西遊記/第099回</x:v>
      </x:c>
      <x:c r="M47" s="27" t="str"/>
    </x:row>
    <x:row r="48">
      <x:c r="A48" s="103" t="n">
        <x:v>47</x:v>
      </x:c>
      <x:c r="B48" s="27" t="str">
        <x:v>路阻火焰山</x:v>
      </x:c>
      <x:c r="C48" s="27" t="str">
        <x:v>第59回</x:v>
      </x:c>
      <x:c r="D48" s="27" t="str">
        <x:v>火焰山环境阻隔</x:v>
      </x:c>
      <x:c r="E48" s="27" t="str">
        <x:v>火焰山前段</x:v>
      </x:c>
      <x:c r="F48" s="27" t="str">
        <x:v>原文第99回明列</x:v>
      </x:c>
      <x:c r="G48" s="27" t="str">
        <x:v>环境风险</x:v>
      </x:c>
      <x:c r="H48" s="27" t="str">
        <x:v>不可绕行/高温</x:v>
      </x:c>
      <x:c r="I48" s="27" t="str">
        <x:v>火焰山、土地、唐僧师徒</x:v>
      </x:c>
      <x:c r="J48" s="27" t="str">
        <x:v>第99回难簿：路阻火焰山四十七難</x:v>
      </x:c>
      <x:c r="K48" s="27" t="str">
        <x:v>环境约束型风险</x:v>
      </x:c>
      <x:c r="L48" s="27" t="str">
        <x:v>https://zh.wikisource.org/wiki/西遊記/第099回</x:v>
      </x:c>
      <x:c r="M48" s="27" t="str"/>
    </x:row>
    <x:row r="49">
      <x:c r="A49" s="103" t="n">
        <x:v>48</x:v>
      </x:c>
      <x:c r="B49" s="27" t="str">
        <x:v>求取芭蕉扇</x:v>
      </x:c>
      <x:c r="C49" s="27" t="str">
        <x:v>第59—61回</x:v>
      </x:c>
      <x:c r="D49" s="27" t="str">
        <x:v>三调芭蕉扇，争取关键资源</x:v>
      </x:c>
      <x:c r="E49" s="27" t="str">
        <x:v>三调芭蕉扇</x:v>
      </x:c>
      <x:c r="F49" s="27" t="str">
        <x:v>原文第99回明列</x:v>
      </x:c>
      <x:c r="G49" s="27" t="str">
        <x:v>关键资源风险</x:v>
      </x:c>
      <x:c r="H49" s="27" t="str">
        <x:v>资源争夺</x:v>
      </x:c>
      <x:c r="I49" s="27" t="str">
        <x:v>铁扇公主、牛魔王、悟空</x:v>
      </x:c>
      <x:c r="J49" s="27" t="str">
        <x:v>第99回难簿：求取芭蕉扇四十八難</x:v>
      </x:c>
      <x:c r="K49" s="27" t="str">
        <x:v>治理资源的争夺</x:v>
      </x:c>
      <x:c r="L49" s="27" t="str">
        <x:v>https://zh.wikisource.org/wiki/西遊記/第099回</x:v>
      </x:c>
      <x:c r="M49" s="27" t="str"/>
    </x:row>
    <x:row r="50">
      <x:c r="A50" s="103" t="n">
        <x:v>49</x:v>
      </x:c>
      <x:c r="B50" s="27" t="str">
        <x:v>收縛魔王</x:v>
      </x:c>
      <x:c r="C50" s="27" t="str">
        <x:v>第61回</x:v>
      </x:c>
      <x:c r="D50" s="27" t="str">
        <x:v>多方协同收伏牛魔王</x:v>
      </x:c>
      <x:c r="E50" s="27" t="str">
        <x:v>降伏牛魔王</x:v>
      </x:c>
      <x:c r="F50" s="27" t="str">
        <x:v>原文第99回明列</x:v>
      </x:c>
      <x:c r="G50" s="27" t="str">
        <x:v>协同治理</x:v>
      </x:c>
      <x:c r="H50" s="27" t="str">
        <x:v>家族势力收束</x:v>
      </x:c>
      <x:c r="I50" s="27" t="str">
        <x:v>牛魔王、哪吒、天兵、悟空</x:v>
      </x:c>
      <x:c r="J50" s="27" t="str">
        <x:v>第99回难簿：收縛魔王四十九難</x:v>
      </x:c>
      <x:c r="K50" s="27" t="str">
        <x:v>牛魔王家族链条收束</x:v>
      </x:c>
      <x:c r="L50" s="27" t="str">
        <x:v>https://zh.wikisource.org/wiki/西遊記/第099回</x:v>
      </x:c>
      <x:c r="M50" s="27" t="str"/>
    </x:row>
    <x:row r="51">
      <x:c r="A51" s="103" t="n">
        <x:v>50</x:v>
      </x:c>
      <x:c r="B51" s="27" t="str">
        <x:v>賽城掃塔</x:v>
      </x:c>
      <x:c r="C51" s="27" t="str">
        <x:v>第62回</x:v>
      </x:c>
      <x:c r="D51" s="27" t="str">
        <x:v>祭赛国扫塔查案</x:v>
      </x:c>
      <x:c r="E51" s="27" t="str">
        <x:v>祭赛国失宝</x:v>
      </x:c>
      <x:c r="F51" s="27" t="str">
        <x:v>原文第99回明列</x:v>
      </x:c>
      <x:c r="G51" s="27" t="str">
        <x:v>冤案/资产风险</x:v>
      </x:c>
      <x:c r="H51" s="27" t="str">
        <x:v>失宝追查</x:v>
      </x:c>
      <x:c r="I51" s="27" t="str">
        <x:v>祭赛国王、金光寺僧、悟空</x:v>
      </x:c>
      <x:c r="J51" s="27" t="str">
        <x:v>第99回难簿：賽城掃塔五十難</x:v>
      </x:c>
      <x:c r="K51" s="27" t="str">
        <x:v>从现场勘验到追赃</x:v>
      </x:c>
      <x:c r="L51" s="27" t="str">
        <x:v>https://zh.wikisource.org/wiki/西遊記/第099回</x:v>
      </x:c>
      <x:c r="M51" s="27" t="str"/>
    </x:row>
    <x:row r="52">
      <x:c r="A52" s="103" t="n">
        <x:v>51</x:v>
      </x:c>
      <x:c r="B52" s="27" t="str">
        <x:v>取寶救僧</x:v>
      </x:c>
      <x:c r="C52" s="27" t="str">
        <x:v>第63回</x:v>
      </x:c>
      <x:c r="D52" s="27" t="str">
        <x:v>夺回宝物，救金光寺僧</x:v>
      </x:c>
      <x:c r="E52" s="27" t="str">
        <x:v>九头虫/万圣龙宫</x:v>
      </x:c>
      <x:c r="F52" s="27" t="str">
        <x:v>原文第99回明列</x:v>
      </x:c>
      <x:c r="G52" s="27" t="str">
        <x:v>冤案昭雪</x:v>
      </x:c>
      <x:c r="H52" s="27" t="str">
        <x:v>追赃救人</x:v>
      </x:c>
      <x:c r="I52" s="27" t="str">
        <x:v>九头虫、万圣公主、二郎神</x:v>
      </x:c>
      <x:c r="J52" s="27" t="str">
        <x:v>第99回难簿：取寶救僧五十一難</x:v>
      </x:c>
      <x:c r="K52" s="27" t="str">
        <x:v>失宝冤案证据链</x:v>
      </x:c>
      <x:c r="L52" s="27" t="str">
        <x:v>https://zh.wikisource.org/wiki/西遊記/第099回</x:v>
      </x:c>
      <x:c r="M52" s="27" t="str"/>
    </x:row>
    <x:row r="53">
      <x:c r="A53" s="103" t="n">
        <x:v>52</x:v>
      </x:c>
      <x:c r="B53" s="27" t="str">
        <x:v>棘林吟詠</x:v>
      </x:c>
      <x:c r="C53" s="27" t="str">
        <x:v>第64回</x:v>
      </x:c>
      <x:c r="D53" s="27" t="str">
        <x:v>荆棘岭木仙庵诗文诱留</x:v>
      </x:c>
      <x:c r="E53" s="27" t="str">
        <x:v>木仙庵</x:v>
      </x:c>
      <x:c r="F53" s="27" t="str">
        <x:v>原文第99回明列</x:v>
      </x:c>
      <x:c r="G53" s="27" t="str">
        <x:v>文化诱惑</x:v>
      </x:c>
      <x:c r="H53" s="27" t="str">
        <x:v>诗文雅趣迷障</x:v>
      </x:c>
      <x:c r="I53" s="27" t="str">
        <x:v>树精、杏仙、唐僧</x:v>
      </x:c>
      <x:c r="J53" s="27" t="str">
        <x:v>第99回难簿：棘林吟詠五十二難</x:v>
      </x:c>
      <x:c r="K53" s="27" t="str">
        <x:v>雅趣也是迷障</x:v>
      </x:c>
      <x:c r="L53" s="27" t="str">
        <x:v>https://zh.wikisource.org/wiki/西遊記/第099回</x:v>
      </x:c>
      <x:c r="M53" s="27" t="str"/>
    </x:row>
    <x:row r="54">
      <x:c r="A54" s="103" t="n">
        <x:v>53</x:v>
      </x:c>
      <x:c r="B54" s="27" t="str">
        <x:v>小雷音遇難</x:v>
      </x:c>
      <x:c r="C54" s="27" t="str">
        <x:v>第65回</x:v>
      </x:c>
      <x:c r="D54" s="27" t="str">
        <x:v>小雷音寺假佛假权威</x:v>
      </x:c>
      <x:c r="E54" s="27" t="str">
        <x:v>小雷音寺</x:v>
      </x:c>
      <x:c r="F54" s="27" t="str">
        <x:v>原文第99回明列</x:v>
      </x:c>
      <x:c r="G54" s="27" t="str">
        <x:v>假权威风险</x:v>
      </x:c>
      <x:c r="H54" s="27" t="str">
        <x:v>冒充佛门</x:v>
      </x:c>
      <x:c r="I54" s="27" t="str">
        <x:v>黄眉老怪、唐僧师徒</x:v>
      </x:c>
      <x:c r="J54" s="27" t="str">
        <x:v>第99回难簿：小雷音遇難五十三難</x:v>
      </x:c>
      <x:c r="K54" s="27" t="str">
        <x:v>越像真权威越危险</x:v>
      </x:c>
      <x:c r="L54" s="27" t="str">
        <x:v>https://zh.wikisource.org/wiki/西遊記/第099回</x:v>
      </x:c>
      <x:c r="M54" s="27" t="str"/>
    </x:row>
    <x:row r="55">
      <x:c r="A55" s="103" t="n">
        <x:v>54</x:v>
      </x:c>
      <x:c r="B55" s="27" t="str">
        <x:v>諸天神遭困</x:v>
      </x:c>
      <x:c r="C55" s="27" t="str">
        <x:v>第66回</x:v>
      </x:c>
      <x:c r="D55" s="27" t="str">
        <x:v>诸天救援被人种袋困住</x:v>
      </x:c>
      <x:c r="E55" s="27" t="str">
        <x:v>人种袋困诸天</x:v>
      </x:c>
      <x:c r="F55" s="27" t="str">
        <x:v>原文第99回明列</x:v>
      </x:c>
      <x:c r="G55" s="27" t="str">
        <x:v>救援失效</x:v>
      </x:c>
      <x:c r="H55" s="27" t="str">
        <x:v>法宝压制</x:v>
      </x:c>
      <x:c r="I55" s="27" t="str">
        <x:v>黄眉、弥勒、诸天神将</x:v>
      </x:c>
      <x:c r="J55" s="27" t="str">
        <x:v>第99回难簿：諸天神遭困五十四難</x:v>
      </x:c>
      <x:c r="K55" s="27" t="str">
        <x:v>救援系统被法宝吸收</x:v>
      </x:c>
      <x:c r="L55" s="27" t="str">
        <x:v>https://zh.wikisource.org/wiki/西遊記/第099回</x:v>
      </x:c>
      <x:c r="M55" s="27" t="str"/>
    </x:row>
    <x:row r="56">
      <x:c r="A56" s="103" t="n">
        <x:v>55</x:v>
      </x:c>
      <x:c r="B56" s="27" t="str">
        <x:v>稀柿衕穢阻</x:v>
      </x:c>
      <x:c r="C56" s="27" t="str">
        <x:v>第67回</x:v>
      </x:c>
      <x:c r="D56" s="27" t="str">
        <x:v>稀柿衕污秽阻路</x:v>
      </x:c>
      <x:c r="E56" s="27" t="str">
        <x:v>驼罗庄/稀柿衕</x:v>
      </x:c>
      <x:c r="F56" s="27" t="str">
        <x:v>原文第99回明列</x:v>
      </x:c>
      <x:c r="G56" s="27" t="str">
        <x:v>环境/秽污风险</x:v>
      </x:c>
      <x:c r="H56" s="27" t="str">
        <x:v>污秽阻隔</x:v>
      </x:c>
      <x:c r="I56" s="27" t="str">
        <x:v>蟒蛇精、八戒、悟空</x:v>
      </x:c>
      <x:c r="J56" s="27" t="str">
        <x:v>第99回难簿：稀柿衕穢阻五十五難</x:v>
      </x:c>
      <x:c r="K56" s="27" t="str">
        <x:v>清障也是取经一环</x:v>
      </x:c>
      <x:c r="L56" s="27" t="str">
        <x:v>https://zh.wikisource.org/wiki/西遊記/第099回</x:v>
      </x:c>
      <x:c r="M56" s="27" t="str"/>
    </x:row>
    <x:row r="57">
      <x:c r="A57" s="103" t="n">
        <x:v>56</x:v>
      </x:c>
      <x:c r="B57" s="27" t="str">
        <x:v>朱紫國行醫</x:v>
      </x:c>
      <x:c r="C57" s="27" t="str">
        <x:v>第68回</x:v>
      </x:c>
      <x:c r="D57" s="27" t="str">
        <x:v>朱紫国王病，悟空行医</x:v>
      </x:c>
      <x:c r="E57" s="27" t="str">
        <x:v>朱紫国行医</x:v>
      </x:c>
      <x:c r="F57" s="27" t="str">
        <x:v>原文第99回明列</x:v>
      </x:c>
      <x:c r="G57" s="27" t="str">
        <x:v>治理/医疗风险</x:v>
      </x:c>
      <x:c r="H57" s="27" t="str">
        <x:v>病症诊断</x:v>
      </x:c>
      <x:c r="I57" s="27" t="str">
        <x:v>朱紫国王、悟空</x:v>
      </x:c>
      <x:c r="J57" s="27" t="str">
        <x:v>第99回难簿：朱紫國行醫五十六難</x:v>
      </x:c>
      <x:c r="K57" s="27" t="str">
        <x:v>悟空的医生/侦探角色</x:v>
      </x:c>
      <x:c r="L57" s="27" t="str">
        <x:v>https://zh.wikisource.org/wiki/西遊記/第099回</x:v>
      </x:c>
      <x:c r="M57" s="27" t="str"/>
    </x:row>
    <x:row r="58">
      <x:c r="A58" s="103" t="n">
        <x:v>57</x:v>
      </x:c>
      <x:c r="B58" s="27" t="str">
        <x:v>拯救疲癃</x:v>
      </x:c>
      <x:c r="C58" s="27" t="str">
        <x:v>第69回</x:v>
      </x:c>
      <x:c r="D58" s="27" t="str">
        <x:v>医治病弱，揭开旧案</x:v>
      </x:c>
      <x:c r="E58" s="27" t="str">
        <x:v>朱紫国疗治</x:v>
      </x:c>
      <x:c r="F58" s="27" t="str">
        <x:v>原文第99回明列</x:v>
      </x:c>
      <x:c r="G58" s="27" t="str">
        <x:v>治理修复</x:v>
      </x:c>
      <x:c r="H58" s="27" t="str">
        <x:v>病体/国体修复</x:v>
      </x:c>
      <x:c r="I58" s="27" t="str">
        <x:v>朱紫国王、金圣宫、悟空</x:v>
      </x:c>
      <x:c r="J58" s="27" t="str">
        <x:v>第99回难簿：拯救疲癃五十七難</x:v>
      </x:c>
      <x:c r="K58" s="27" t="str">
        <x:v>色欲伤身与王权失序</x:v>
      </x:c>
      <x:c r="L58" s="27" t="str">
        <x:v>https://zh.wikisource.org/wiki/西遊記/第099回</x:v>
      </x:c>
      <x:c r="M58" s="27" t="str"/>
    </x:row>
    <x:row r="59">
      <x:c r="A59" s="103" t="n">
        <x:v>58</x:v>
      </x:c>
      <x:c r="B59" s="27" t="str">
        <x:v>降妖取后</x:v>
      </x:c>
      <x:c r="C59" s="27" t="str">
        <x:v>第70—71回</x:v>
      </x:c>
      <x:c r="D59" s="27" t="str">
        <x:v>降伏赛太岁，救金圣宫娘娘</x:v>
      </x:c>
      <x:c r="E59" s="27" t="str">
        <x:v>赛太岁/金毛犼</x:v>
      </x:c>
      <x:c r="F59" s="27" t="str">
        <x:v>原文第99回明列</x:v>
      </x:c>
      <x:c r="G59" s="27" t="str">
        <x:v>后台坐骑风险</x:v>
      </x:c>
      <x:c r="H59" s="27" t="str">
        <x:v>法宝外溢/掳掠</x:v>
      </x:c>
      <x:c r="I59" s="27" t="str">
        <x:v>赛太岁、观音、金圣宫</x:v>
      </x:c>
      <x:c r="J59" s="27" t="str">
        <x:v>第99回难簿：降妖取后五十八難</x:v>
      </x:c>
      <x:c r="K59" s="27" t="str">
        <x:v>观音坐骑系统外溢</x:v>
      </x:c>
      <x:c r="L59" s="27" t="str">
        <x:v>https://zh.wikisource.org/wiki/西遊記/第099回</x:v>
      </x:c>
      <x:c r="M59" s="27" t="str"/>
    </x:row>
    <x:row r="60">
      <x:c r="A60" s="103" t="n">
        <x:v>59</x:v>
      </x:c>
      <x:c r="B60" s="27" t="str">
        <x:v>七情迷沒</x:v>
      </x:c>
      <x:c r="C60" s="27" t="str">
        <x:v>第72回</x:v>
      </x:c>
      <x:c r="D60" s="27" t="str">
        <x:v>盘丝洞蜘蛛精，七情缠缚</x:v>
      </x:c>
      <x:c r="E60" s="27" t="str">
        <x:v>盘丝洞</x:v>
      </x:c>
      <x:c r="F60" s="27" t="str">
        <x:v>原文第99回明列</x:v>
      </x:c>
      <x:c r="G60" s="27" t="str">
        <x:v>欲望风险</x:v>
      </x:c>
      <x:c r="H60" s="27" t="str">
        <x:v>缠缚/身体失控</x:v>
      </x:c>
      <x:c r="I60" s="27" t="str">
        <x:v>蜘蛛精、八戒、唐僧</x:v>
      </x:c>
      <x:c r="J60" s="27" t="str">
        <x:v>第99回难簿：七情迷沒五十九難</x:v>
      </x:c>
      <x:c r="K60" s="27" t="str">
        <x:v>欲望如何变成缠缚</x:v>
      </x:c>
      <x:c r="L60" s="27" t="str">
        <x:v>https://zh.wikisource.org/wiki/西遊記/第099回</x:v>
      </x:c>
      <x:c r="M60" s="27" t="str"/>
    </x:row>
    <x:row r="61">
      <x:c r="A61" s="103" t="n">
        <x:v>60</x:v>
      </x:c>
      <x:c r="B61" s="27" t="str">
        <x:v>多目遭傷</x:v>
      </x:c>
      <x:c r="C61" s="27" t="str">
        <x:v>第73回</x:v>
      </x:c>
      <x:c r="D61" s="27" t="str">
        <x:v>多目怪毒眼金光伤悟空</x:v>
      </x:c>
      <x:c r="E61" s="27" t="str">
        <x:v>蜈蚣精/多目怪</x:v>
      </x:c>
      <x:c r="F61" s="27" t="str">
        <x:v>原文第99回明列</x:v>
      </x:c>
      <x:c r="G61" s="27" t="str">
        <x:v>能力克制</x:v>
      </x:c>
      <x:c r="H61" s="27" t="str">
        <x:v>视觉/毒光攻击</x:v>
      </x:c>
      <x:c r="I61" s="27" t="str">
        <x:v>多目怪、悟空、毗蓝婆</x:v>
      </x:c>
      <x:c r="J61" s="27" t="str">
        <x:v>第99回难簿：多目遭傷六十難</x:v>
      </x:c>
      <x:c r="K61" s="27" t="str">
        <x:v>外部专家破局</x:v>
      </x:c>
      <x:c r="L61" s="27" t="str">
        <x:v>https://zh.wikisource.org/wiki/西遊記/第099回</x:v>
      </x:c>
      <x:c r="M61" s="27" t="str"/>
    </x:row>
    <x:row r="62">
      <x:c r="A62" s="103" t="n">
        <x:v>61</x:v>
      </x:c>
      <x:c r="B62" s="27" t="str">
        <x:v>路阻獅駝</x:v>
      </x:c>
      <x:c r="C62" s="27" t="str">
        <x:v>第74—75回</x:v>
      </x:c>
      <x:c r="D62" s="27" t="str">
        <x:v>狮驼岭预警与入险</x:v>
      </x:c>
      <x:c r="E62" s="27" t="str">
        <x:v>狮驼岭前段</x:v>
      </x:c>
      <x:c r="F62" s="27" t="str">
        <x:v>原文第99回明列</x:v>
      </x:c>
      <x:c r="G62" s="27" t="str">
        <x:v>组织化妖怪风险</x:v>
      </x:c>
      <x:c r="H62" s="27" t="str">
        <x:v>极端风险预警</x:v>
      </x:c>
      <x:c r="I62" s="27" t="str">
        <x:v>太白金星、悟空、三魔</x:v>
      </x:c>
      <x:c r="J62" s="27" t="str">
        <x:v>第99回难簿：路阻獅駝六十一難</x:v>
      </x:c>
      <x:c r="K62" s="27" t="str">
        <x:v>全书最重妖怪集团</x:v>
      </x:c>
      <x:c r="L62" s="27" t="str">
        <x:v>https://zh.wikisource.org/wiki/西遊記/第099回</x:v>
      </x:c>
      <x:c r="M62" s="27" t="str"/>
    </x:row>
    <x:row r="63">
      <x:c r="A63" s="103" t="n">
        <x:v>62</x:v>
      </x:c>
      <x:c r="B63" s="27" t="str">
        <x:v>怪分三色</x:v>
      </x:c>
      <x:c r="C63" s="27" t="str">
        <x:v>第75—76回</x:v>
      </x:c>
      <x:c r="D63" s="27" t="str">
        <x:v>青狮、白象、大鹏三魔分工</x:v>
      </x:c>
      <x:c r="E63" s="27" t="str">
        <x:v>狮驼三魔</x:v>
      </x:c>
      <x:c r="F63" s="27" t="str">
        <x:v>原文第99回明列</x:v>
      </x:c>
      <x:c r="G63" s="27" t="str">
        <x:v>组织化妖怪风险</x:v>
      </x:c>
      <x:c r="H63" s="27" t="str">
        <x:v>分工协同</x:v>
      </x:c>
      <x:c r="I63" s="27" t="str">
        <x:v>青狮、白象、大鹏</x:v>
      </x:c>
      <x:c r="J63" s="27" t="str">
        <x:v>第99回难簿：怪分三色六十二難</x:v>
      </x:c>
      <x:c r="K63" s="27" t="str">
        <x:v>组织化妖怪体系</x:v>
      </x:c>
      <x:c r="L63" s="27" t="str">
        <x:v>https://zh.wikisource.org/wiki/西遊記/第099回</x:v>
      </x:c>
      <x:c r="M63" s="27" t="str"/>
    </x:row>
    <x:row r="64">
      <x:c r="A64" s="103" t="n">
        <x:v>63</x:v>
      </x:c>
      <x:c r="B64" s="27" t="str">
        <x:v>城裡遇災</x:v>
      </x:c>
      <x:c r="C64" s="27" t="str">
        <x:v>第76回</x:v>
      </x:c>
      <x:c r="D64" s="27" t="str">
        <x:v>狮驼国群妖区域秩序</x:v>
      </x:c>
      <x:c r="E64" s="27" t="str">
        <x:v>狮驼国</x:v>
      </x:c>
      <x:c r="F64" s="27" t="str">
        <x:v>原文第99回明列</x:v>
      </x:c>
      <x:c r="G64" s="27" t="str">
        <x:v>区域性灾难</x:v>
      </x:c>
      <x:c r="H64" s="27" t="str">
        <x:v>妖怪政权</x:v>
      </x:c>
      <x:c r="I64" s="27" t="str">
        <x:v>狮驼国群妖、唐僧师徒</x:v>
      </x:c>
      <x:c r="J64" s="27" t="str">
        <x:v>第99回难簿：城裡遇災六十三難</x:v>
      </x:c>
      <x:c r="K64" s="27" t="str">
        <x:v>妖怪成为地方秩序</x:v>
      </x:c>
      <x:c r="L64" s="27" t="str">
        <x:v>https://zh.wikisource.org/wiki/西遊記/第099回</x:v>
      </x:c>
      <x:c r="M64" s="27" t="str"/>
    </x:row>
    <x:row r="65">
      <x:c r="A65" s="103" t="n">
        <x:v>64</x:v>
      </x:c>
      <x:c r="B65" s="27" t="str">
        <x:v>請佛收魔</x:v>
      </x:c>
      <x:c r="C65" s="27" t="str">
        <x:v>第77回</x:v>
      </x:c>
      <x:c r="D65" s="27" t="str">
        <x:v>请如来收三魔，尤其大鹏</x:v>
      </x:c>
      <x:c r="E65" s="27" t="str">
        <x:v>如来收魔</x:v>
      </x:c>
      <x:c r="F65" s="27" t="str">
        <x:v>原文第99回明列</x:v>
      </x:c>
      <x:c r="G65" s="27" t="str">
        <x:v>最高系统收束</x:v>
      </x:c>
      <x:c r="H65" s="27" t="str">
        <x:v>后台边界</x:v>
      </x:c>
      <x:c r="I65" s="27" t="str">
        <x:v>如来、文殊、普贤、大鹏</x:v>
      </x:c>
      <x:c r="J65" s="27" t="str">
        <x:v>第99回难簿：請佛收魔六十四難</x:v>
      </x:c>
      <x:c r="K65" s="27" t="str">
        <x:v>后台责任边界专题核心</x:v>
      </x:c>
      <x:c r="L65" s="27" t="str">
        <x:v>https://zh.wikisource.org/wiki/西遊記/第099回</x:v>
      </x:c>
      <x:c r="M65" s="27" t="str"/>
    </x:row>
    <x:row r="66">
      <x:c r="A66" s="103" t="n">
        <x:v>65</x:v>
      </x:c>
      <x:c r="B66" s="27" t="str">
        <x:v>比丘救子</x:v>
      </x:c>
      <x:c r="C66" s="27" t="str">
        <x:v>第78回</x:v>
      </x:c>
      <x:c r="D66" s="27" t="str">
        <x:v>比丘国救儿童，破白鹿精药方</x:v>
      </x:c>
      <x:c r="E66" s="27" t="str">
        <x:v>比丘国儿童风险</x:v>
      </x:c>
      <x:c r="F66" s="27" t="str">
        <x:v>原文第99回明列</x:v>
      </x:c>
      <x:c r="G66" s="27" t="str">
        <x:v>儿童保护</x:v>
      </x:c>
      <x:c r="H66" s="27" t="str">
        <x:v>宫廷妖惑/害童药方</x:v>
      </x:c>
      <x:c r="I66" s="27" t="str">
        <x:v>白鹿精、狐狸精、比丘国王、悟空</x:v>
      </x:c>
      <x:c r="J66" s="27" t="str">
        <x:v>第99回难簿：比丘救子六十五難</x:v>
      </x:c>
      <x:c r="K66" s="27" t="str">
        <x:v>儿童保护与王权失序</x:v>
      </x:c>
      <x:c r="L66" s="27" t="str">
        <x:v>https://zh.wikisource.org/wiki/西遊記/第099回</x:v>
      </x:c>
      <x:c r="M66" s="27" t="str"/>
    </x:row>
    <x:row r="67">
      <x:c r="A67" s="103" t="n">
        <x:v>66</x:v>
      </x:c>
      <x:c r="B67" s="27" t="str">
        <x:v>辨認真邪</x:v>
      </x:c>
      <x:c r="C67" s="27" t="str">
        <x:v>第79回</x:v>
      </x:c>
      <x:c r="D67" s="27" t="str">
        <x:v>辨白鹿真邪，南极老人收鹿</x:v>
      </x:c>
      <x:c r="E67" s="27" t="str">
        <x:v>白鹿精收束</x:v>
      </x:c>
      <x:c r="F67" s="27" t="str">
        <x:v>原文第99回明列</x:v>
      </x:c>
      <x:c r="G67" s="27" t="str">
        <x:v>真伪辨识</x:v>
      </x:c>
      <x:c r="H67" s="27" t="str">
        <x:v>坐骑后台</x:v>
      </x:c>
      <x:c r="I67" s="27" t="str">
        <x:v>南极老人、白鹿精、悟空</x:v>
      </x:c>
      <x:c r="J67" s="27" t="str">
        <x:v>第99回难簿：辨認真邪六十六難</x:v>
      </x:c>
      <x:c r="K67" s="27" t="str">
        <x:v>养生迷信与后台坐骑</x:v>
      </x:c>
      <x:c r="L67" s="27" t="str">
        <x:v>https://zh.wikisource.org/wiki/西遊記/第099回</x:v>
      </x:c>
      <x:c r="M67" s="27" t="str"/>
    </x:row>
    <x:row r="68">
      <x:c r="A68" s="103" t="n">
        <x:v>67</x:v>
      </x:c>
      <x:c r="B68" s="27" t="str">
        <x:v>松林救怪</x:v>
      </x:c>
      <x:c r="C68" s="27" t="str">
        <x:v>第80回</x:v>
      </x:c>
      <x:c r="D68" s="27" t="str">
        <x:v>黑松林救怪/引出无底洞前缘</x:v>
      </x:c>
      <x:c r="E68" s="27" t="str">
        <x:v>镇海寺前段</x:v>
      </x:c>
      <x:c r="F68" s="27" t="str">
        <x:v>原文第99回明列</x:v>
      </x:c>
      <x:c r="G68" s="27" t="str">
        <x:v>慈悲边界</x:v>
      </x:c>
      <x:c r="H68" s="27" t="str">
        <x:v>救助引险</x:v>
      </x:c>
      <x:c r="I68" s="27" t="str">
        <x:v>唐僧、女妖/地涌夫人</x:v>
      </x:c>
      <x:c r="J68" s="27" t="str">
        <x:v>第99回难簿：松林救怪六十七難</x:v>
      </x:c>
      <x:c r="K68" s="27" t="str">
        <x:v>慈悲与边界专题</x:v>
      </x:c>
      <x:c r="L68" s="27" t="str">
        <x:v>https://zh.wikisource.org/wiki/西遊記/第099回</x:v>
      </x:c>
      <x:c r="M68" s="27" t="str"/>
    </x:row>
    <x:row r="69">
      <x:c r="A69" s="103" t="n">
        <x:v>68</x:v>
      </x:c>
      <x:c r="B69" s="27" t="str">
        <x:v>僧房臥病</x:v>
      </x:c>
      <x:c r="C69" s="27" t="str">
        <x:v>第81回</x:v>
      </x:c>
      <x:c r="D69" s="27" t="str">
        <x:v>镇海寺僧房病困，妖怪诱入</x:v>
      </x:c>
      <x:c r="E69" s="27" t="str">
        <x:v>镇海寺僧房</x:v>
      </x:c>
      <x:c r="F69" s="27" t="str">
        <x:v>原文第99回明列</x:v>
      </x:c>
      <x:c r="G69" s="27" t="str">
        <x:v>身体/诱捕风险</x:v>
      </x:c>
      <x:c r="H69" s="27" t="str">
        <x:v>卧病/摄诱</x:v>
      </x:c>
      <x:c r="I69" s="27" t="str">
        <x:v>唐僧、地涌夫人、悟空</x:v>
      </x:c>
      <x:c r="J69" s="27" t="str">
        <x:v>第99回难簿：僧房臥病六十八難</x:v>
      </x:c>
      <x:c r="K69" s="27" t="str">
        <x:v>病困与诱捕机制</x:v>
      </x:c>
      <x:c r="L69" s="27" t="str">
        <x:v>https://zh.wikisource.org/wiki/西遊記/第099回</x:v>
      </x:c>
      <x:c r="M69" s="27" t="str"/>
    </x:row>
    <x:row r="70">
      <x:c r="A70" s="103" t="n">
        <x:v>69</x:v>
      </x:c>
      <x:c r="B70" s="27" t="str">
        <x:v>無底洞遭困</x:v>
      </x:c>
      <x:c r="C70" s="27" t="str">
        <x:v>第82—83回</x:v>
      </x:c>
      <x:c r="D70" s="27" t="str">
        <x:v>唐僧陷无底洞，地涌夫人逼婚</x:v>
      </x:c>
      <x:c r="E70" s="27" t="str">
        <x:v>无底洞之难</x:v>
      </x:c>
      <x:c r="F70" s="27" t="str">
        <x:v>原文第99回明列</x:v>
      </x:c>
      <x:c r="G70" s="27" t="str">
        <x:v>亲属后台风险</x:v>
      </x:c>
      <x:c r="H70" s="27" t="str">
        <x:v>地下困局/身份迷局</x:v>
      </x:c>
      <x:c r="I70" s="27" t="str">
        <x:v>地涌夫人、托塔天王、哪吒</x:v>
      </x:c>
      <x:c r="J70" s="27" t="str">
        <x:v>第99回难簿：無底洞遭困六十九難</x:v>
      </x:c>
      <x:c r="K70" s="27" t="str">
        <x:v>义亲后台新类型</x:v>
      </x:c>
      <x:c r="L70" s="27" t="str">
        <x:v>https://zh.wikisource.org/wiki/西遊記/第099回</x:v>
      </x:c>
      <x:c r="M70" s="27" t="str"/>
    </x:row>
    <x:row r="71">
      <x:c r="A71" s="103" t="n">
        <x:v>70</x:v>
      </x:c>
      <x:c r="B71" s="27" t="str">
        <x:v>滅法國難行</x:v>
      </x:c>
      <x:c r="C71" s="27" t="str">
        <x:v>第84回</x:v>
      </x:c>
      <x:c r="D71" s="27" t="str">
        <x:v>灭法国禁僧，取经团队身份风险</x:v>
      </x:c>
      <x:c r="E71" s="27" t="str">
        <x:v>灭法国</x:v>
      </x:c>
      <x:c r="F71" s="27" t="str">
        <x:v>原文第99回明列</x:v>
      </x:c>
      <x:c r="G71" s="27" t="str">
        <x:v>制度性偏见</x:v>
      </x:c>
      <x:c r="H71" s="27" t="str">
        <x:v>政策/身份风险</x:v>
      </x:c>
      <x:c r="I71" s="27" t="str">
        <x:v>灭法国王、唐僧师徒</x:v>
      </x:c>
      <x:c r="J71" s="27" t="str">
        <x:v>第99回难簿：滅法國難行七十難</x:v>
      </x:c>
      <x:c r="K71" s="27" t="str">
        <x:v>制度风险非妖之难</x:v>
      </x:c>
      <x:c r="L71" s="27" t="str">
        <x:v>https://zh.wikisource.org/wiki/西遊記/第099回</x:v>
      </x:c>
      <x:c r="M71" s="27" t="str"/>
    </x:row>
    <x:row r="72">
      <x:c r="A72" s="103" t="n">
        <x:v>71</x:v>
      </x:c>
      <x:c r="B72" s="27" t="str">
        <x:v>隱霧山遇魔</x:v>
      </x:c>
      <x:c r="C72" s="27" t="str">
        <x:v>第85—86回</x:v>
      </x:c>
      <x:c r="D72" s="27" t="str">
        <x:v>隐雾山豹子精擒唐僧</x:v>
      </x:c>
      <x:c r="E72" s="27" t="str">
        <x:v>隐雾山</x:v>
      </x:c>
      <x:c r="F72" s="27" t="str">
        <x:v>原文第99回明列</x:v>
      </x:c>
      <x:c r="G72" s="27" t="str">
        <x:v>普通妖怪风险</x:v>
      </x:c>
      <x:c r="H72" s="27" t="str">
        <x:v>山林阻隔</x:v>
      </x:c>
      <x:c r="I72" s="27" t="str">
        <x:v>南山大王/豹子精、悟空、八戒</x:v>
      </x:c>
      <x:c r="J72" s="27" t="str">
        <x:v>第99回难簿：隱霧山遇魔七十一難</x:v>
      </x:c>
      <x:c r="K72" s="27" t="str">
        <x:v>非后台普通妖怪样本</x:v>
      </x:c>
      <x:c r="L72" s="27" t="str">
        <x:v>https://zh.wikisource.org/wiki/西遊記/第099回</x:v>
      </x:c>
      <x:c r="M72" s="27" t="str"/>
    </x:row>
    <x:row r="73">
      <x:c r="A73" s="103" t="n">
        <x:v>72</x:v>
      </x:c>
      <x:c r="B73" s="27" t="str">
        <x:v>鳳仙郡求雨</x:v>
      </x:c>
      <x:c r="C73" s="27" t="str">
        <x:v>第87回</x:v>
      </x:c>
      <x:c r="D73" s="27" t="str">
        <x:v>凤仙郡大旱，悟空求雨劝善</x:v>
      </x:c>
      <x:c r="E73" s="27" t="str">
        <x:v>凤仙郡</x:v>
      </x:c>
      <x:c r="F73" s="27" t="str">
        <x:v>原文第99回明列</x:v>
      </x:c>
      <x:c r="G73" s="27" t="str">
        <x:v>天灾治理</x:v>
      </x:c>
      <x:c r="H73" s="27" t="str">
        <x:v>德政/天庭规则</x:v>
      </x:c>
      <x:c r="I73" s="27" t="str">
        <x:v>凤仙郡侯、玉帝、悟空、雷部</x:v>
      </x:c>
      <x:c r="J73" s="27" t="str">
        <x:v>第99回难簿：鳳仙郡求雨七十二難</x:v>
      </x:c>
      <x:c r="K73" s="27" t="str">
        <x:v>天灾治理与德政修复</x:v>
      </x:c>
      <x:c r="L73" s="27" t="str">
        <x:v>https://zh.wikisource.org/wiki/西遊記/第099回</x:v>
      </x:c>
      <x:c r="M73" s="27" t="str"/>
    </x:row>
    <x:row r="74">
      <x:c r="A74" s="103" t="n">
        <x:v>73</x:v>
      </x:c>
      <x:c r="B74" s="27" t="str">
        <x:v>失落兵器</x:v>
      </x:c>
      <x:c r="C74" s="27" t="str">
        <x:v>第88—89回</x:v>
      </x:c>
      <x:c r="D74" s="27" t="str">
        <x:v>玉华州三徒兵器被盗</x:v>
      </x:c>
      <x:c r="E74" s="27" t="str">
        <x:v>玉华州兵器失落</x:v>
      </x:c>
      <x:c r="F74" s="27" t="str">
        <x:v>原文第99回明列</x:v>
      </x:c>
      <x:c r="G74" s="27" t="str">
        <x:v>资源外泄</x:v>
      </x:c>
      <x:c r="H74" s="27" t="str">
        <x:v>关键兵器被盗</x:v>
      </x:c>
      <x:c r="I74" s="27" t="str">
        <x:v>黄狮精、悟空、八戒、沙僧</x:v>
      </x:c>
      <x:c r="J74" s="27" t="str">
        <x:v>第99回难簿：失落兵器七十三難</x:v>
      </x:c>
      <x:c r="K74" s="27" t="str">
        <x:v>授艺/展示带来风险</x:v>
      </x:c>
      <x:c r="L74" s="27" t="str">
        <x:v>https://zh.wikisource.org/wiki/西遊記/第099回</x:v>
      </x:c>
      <x:c r="M74" s="27" t="str"/>
    </x:row>
    <x:row r="75">
      <x:c r="A75" s="103" t="n">
        <x:v>74</x:v>
      </x:c>
      <x:c r="B75" s="27" t="str">
        <x:v>會慶釘鈀</x:v>
      </x:c>
      <x:c r="C75" s="27" t="str">
        <x:v>第89回</x:v>
      </x:c>
      <x:c r="D75" s="27" t="str">
        <x:v>黄狮精设钉钯宴，三徒闹宴</x:v>
      </x:c>
      <x:c r="E75" s="27" t="str">
        <x:v>钉钯宴</x:v>
      </x:c>
      <x:c r="F75" s="27" t="str">
        <x:v>原文第99回明列</x:v>
      </x:c>
      <x:c r="G75" s="27" t="str">
        <x:v>资源外泄</x:v>
      </x:c>
      <x:c r="H75" s="27" t="str">
        <x:v>资产展示/宴会风险</x:v>
      </x:c>
      <x:c r="I75" s="27" t="str">
        <x:v>黄狮精、三徒兵器</x:v>
      </x:c>
      <x:c r="J75" s="27" t="str">
        <x:v>第99回难簿：會慶釘鈀七十四難</x:v>
      </x:c>
      <x:c r="K75" s="27" t="str">
        <x:v>关键资产被炫耀利用</x:v>
      </x:c>
      <x:c r="L75" s="27" t="str">
        <x:v>https://zh.wikisource.org/wiki/西遊記/第099回</x:v>
      </x:c>
      <x:c r="M75" s="27" t="str"/>
    </x:row>
    <x:row r="76">
      <x:c r="A76" s="103" t="n">
        <x:v>75</x:v>
      </x:c>
      <x:c r="B76" s="27" t="str">
        <x:v>竹節山遭難</x:v>
      </x:c>
      <x:c r="C76" s="27" t="str">
        <x:v>第90回</x:v>
      </x:c>
      <x:c r="D76" s="27" t="str">
        <x:v>竹节山九灵元圣升级危机</x:v>
      </x:c>
      <x:c r="E76" s="27" t="str">
        <x:v>九灵元圣</x:v>
      </x:c>
      <x:c r="F76" s="27" t="str">
        <x:v>原文第99回明列</x:v>
      </x:c>
      <x:c r="G76" s="27" t="str">
        <x:v>高阶后台风险</x:v>
      </x:c>
      <x:c r="H76" s="27" t="str">
        <x:v>九头摄伏</x:v>
      </x:c>
      <x:c r="I76" s="27" t="str">
        <x:v>九灵元圣、太乙救苦天尊</x:v>
      </x:c>
      <x:c r="J76" s="27" t="str">
        <x:v>第99回难簿：竹節山遭難七十五難</x:v>
      </x:c>
      <x:c r="K76" s="27" t="str">
        <x:v>后台等级升级</x:v>
      </x:c>
      <x:c r="L76" s="27" t="str">
        <x:v>https://zh.wikisource.org/wiki/西遊記/第099回</x:v>
      </x:c>
      <x:c r="M76" s="27" t="str"/>
    </x:row>
    <x:row r="77">
      <x:c r="A77" s="103" t="n">
        <x:v>76</x:v>
      </x:c>
      <x:c r="B77" s="27" t="str">
        <x:v>玄英洞受苦</x:v>
      </x:c>
      <x:c r="C77" s="27" t="str">
        <x:v>第91—92回</x:v>
      </x:c>
      <x:c r="D77" s="27" t="str">
        <x:v>金平府三犀牛怪摄僧受苦</x:v>
      </x:c>
      <x:c r="E77" s="27" t="str">
        <x:v>金平府犀牛怪</x:v>
      </x:c>
      <x:c r="F77" s="27" t="str">
        <x:v>原文第99回明列</x:v>
      </x:c>
      <x:c r="G77" s="27" t="str">
        <x:v>祭祀经济风险</x:v>
      </x:c>
      <x:c r="H77" s="27" t="str">
        <x:v>假神供奉</x:v>
      </x:c>
      <x:c r="I77" s="27" t="str">
        <x:v>三犀牛怪、金平府僧众</x:v>
      </x:c>
      <x:c r="J77" s="27" t="str">
        <x:v>第99回难簿：玄英洞受苦七十六難</x:v>
      </x:c>
      <x:c r="K77" s="27" t="str">
        <x:v>祭祀经济与假权威</x:v>
      </x:c>
      <x:c r="L77" s="27" t="str">
        <x:v>https://zh.wikisource.org/wiki/西遊記/第099回</x:v>
      </x:c>
      <x:c r="M77" s="27" t="str"/>
    </x:row>
    <x:row r="78">
      <x:c r="A78" s="103" t="n">
        <x:v>77</x:v>
      </x:c>
      <x:c r="B78" s="27" t="str">
        <x:v>趕捉犀牛</x:v>
      </x:c>
      <x:c r="C78" s="27" t="str">
        <x:v>第92回</x:v>
      </x:c>
      <x:c r="D78" s="27" t="str">
        <x:v>请四木禽星克制三犀牛怪</x:v>
      </x:c>
      <x:c r="E78" s="27" t="str">
        <x:v>捉犀牛</x:v>
      </x:c>
      <x:c r="F78" s="27" t="str">
        <x:v>原文第99回明列</x:v>
      </x:c>
      <x:c r="G78" s="27" t="str">
        <x:v>专业克制</x:v>
      </x:c>
      <x:c r="H78" s="27" t="str">
        <x:v>外部专业系统</x:v>
      </x:c>
      <x:c r="I78" s="27" t="str">
        <x:v>四木禽星、悟空、三犀牛</x:v>
      </x:c>
      <x:c r="J78" s="27" t="str">
        <x:v>第99回难簿：趕捉犀牛七十七難</x:v>
      </x:c>
      <x:c r="K78" s="27" t="str">
        <x:v>专业克制系统</x:v>
      </x:c>
      <x:c r="L78" s="27" t="str">
        <x:v>https://zh.wikisource.org/wiki/西遊記/第099回</x:v>
      </x:c>
      <x:c r="M78" s="27" t="str"/>
    </x:row>
    <x:row r="79">
      <x:c r="A79" s="103" t="n">
        <x:v>78</x:v>
      </x:c>
      <x:c r="B79" s="27" t="str">
        <x:v>天竺招婚</x:v>
      </x:c>
      <x:c r="C79" s="27" t="str">
        <x:v>第93—95回</x:v>
      </x:c>
      <x:c r="D79" s="27" t="str">
        <x:v>天竺国玉兔精冒公主招婚</x:v>
      </x:c>
      <x:c r="E79" s="27" t="str">
        <x:v>天竺国真假公主</x:v>
      </x:c>
      <x:c r="F79" s="27" t="str">
        <x:v>原文第99回明列</x:v>
      </x:c>
      <x:c r="G79" s="27" t="str">
        <x:v>身份替换风险</x:v>
      </x:c>
      <x:c r="H79" s="27" t="str">
        <x:v>婚姻/权力嵌入</x:v>
      </x:c>
      <x:c r="I79" s="27" t="str">
        <x:v>玉兔精、真公主、太阴星君、唐僧</x:v>
      </x:c>
      <x:c r="J79" s="27" t="str">
        <x:v>第99回难簿：天竺招婚七十八難</x:v>
      </x:c>
      <x:c r="K79" s="27" t="str">
        <x:v>临近灵山的身份迷障</x:v>
      </x:c>
      <x:c r="L79" s="27" t="str">
        <x:v>https://zh.wikisource.org/wiki/西遊記/第099回</x:v>
      </x:c>
      <x:c r="M79" s="27" t="str"/>
    </x:row>
    <x:row r="80">
      <x:c r="A80" s="103" t="n">
        <x:v>79</x:v>
      </x:c>
      <x:c r="B80" s="27" t="str">
        <x:v>銅臺府監禁</x:v>
      </x:c>
      <x:c r="C80" s="27" t="str">
        <x:v>第96—97回</x:v>
      </x:c>
      <x:c r="D80" s="27" t="str">
        <x:v>寇员外冤案，唐僧师徒被监禁</x:v>
      </x:c>
      <x:c r="E80" s="27" t="str">
        <x:v>铜台府/寇员外</x:v>
      </x:c>
      <x:c r="F80" s="27" t="str">
        <x:v>原文第99回明列</x:v>
      </x:c>
      <x:c r="G80" s="27" t="str">
        <x:v>冤案/司法风险</x:v>
      </x:c>
      <x:c r="H80" s="27" t="str">
        <x:v>监禁/误判</x:v>
      </x:c>
      <x:c r="I80" s="27" t="str">
        <x:v>寇员外、强盗、唐僧师徒</x:v>
      </x:c>
      <x:c r="J80" s="27" t="str">
        <x:v>第99回难簿：銅臺府監禁七十九難</x:v>
      </x:c>
      <x:c r="K80" s="27" t="str">
        <x:v>最后阶段的司法冤案</x:v>
      </x:c>
      <x:c r="L80" s="27" t="str">
        <x:v>https://zh.wikisource.org/wiki/西遊記/第099回</x:v>
      </x:c>
      <x:c r="M80" s="27" t="str"/>
    </x:row>
    <x:row r="81">
      <x:c r="A81" s="103" t="n">
        <x:v>80</x:v>
      </x:c>
      <x:c r="B81" s="27" t="str">
        <x:v>凌雲渡脫胎</x:v>
      </x:c>
      <x:c r="C81" s="27" t="str">
        <x:v>第98回</x:v>
      </x:c>
      <x:c r="D81" s="27" t="str">
        <x:v>凌云渡脱凡胎，临近灵山</x:v>
      </x:c>
      <x:c r="E81" s="27" t="str">
        <x:v>凌云渡脱胎</x:v>
      </x:c>
      <x:c r="F81" s="27" t="str">
        <x:v>原文第99回明列</x:v>
      </x:c>
      <x:c r="G81" s="27" t="str">
        <x:v>成果转化</x:v>
      </x:c>
      <x:c r="H81" s="27" t="str">
        <x:v>脱胎/身份变化</x:v>
      </x:c>
      <x:c r="I81" s="27" t="str">
        <x:v>唐僧、悟空、灵山系统</x:v>
      </x:c>
      <x:c r="J81" s="27" t="str">
        <x:v>第99回难簿：凌雲渡脫胎八十難</x:v>
      </x:c>
      <x:c r="K81" s="27" t="str">
        <x:v>第99回称仍少一难</x:v>
      </x:c>
      <x:c r="L81" s="27" t="str">
        <x:v>https://zh.wikisource.org/wiki/西遊記/第099回</x:v>
      </x:c>
      <x:c r="M81" s="27" t="str"/>
    </x:row>
    <x:row r="82">
      <x:c r="A82" s="103" t="n">
        <x:v>81</x:v>
      </x:c>
      <x:c r="B82" s="27" t="str">
        <x:v>補足一難：老黿淬水/經卷落水</x:v>
      </x:c>
      <x:c r="C82" s="27" t="str">
        <x:v>第99回</x:v>
      </x:c>
      <x:c r="D82" s="27" t="str">
        <x:v>老鼋问寿未答，将师徒与经卷淬入通天河，补足九九归真</x:v>
      </x:c>
      <x:c r="E82" s="27" t="str">
        <x:v>通天河老鼋补难</x:v>
      </x:c>
      <x:c r="F82" s="27" t="str">
        <x:v>据第99回情节补足</x:v>
      </x:c>
      <x:c r="G82" s="27" t="str">
        <x:v>收官补难</x:v>
      </x:c>
      <x:c r="H82" s="27" t="str">
        <x:v>承诺未尽/成果保护</x:v>
      </x:c>
      <x:c r="I82" s="27" t="str">
        <x:v>老鼋、唐僧师徒、经卷</x:v>
      </x:c>
      <x:c r="J82" s="27" t="str">
        <x:v>第99回：還少一難；老黿淬下水去；經包俱濕</x:v>
      </x:c>
      <x:c r="K82" s="27" t="str">
        <x:v>第99回原文未明写“第八十一难”名称，故以事件校核命名</x:v>
      </x:c>
      <x:c r="L82" s="27" t="str">
        <x:v>https://zh.wikisource.org/wiki/西遊記/第099回</x:v>
      </x:c>
      <x:c r="M82" s="27" t="str"/>
    </x:row>
  </x:sheetData>
  <x:conditionalFormatting sqref="F2:F82">
    <x:cfRule type="expression" dxfId="2" priority="1">
      <x:formula>$F2="据第99回情节补足"</x:formula>
    </x:cfRule>
    <x:cfRule type="expression" dxfId="3" priority="2">
      <x:formula>$F2="待与校注本复核"</x:formula>
    </x:cfRule>
  </x:conditionalFormatting>
  <x:dataValidations count="1">
    <x:dataValidation type="list" sqref="F2:F82">
      <x:formula1>"原文第99回明列,据第99回情节补足,待与校注本复核,需原文摘录补证"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0edd2320e24d9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4" hidden="0" customWidth="1"/>
    <x:col min="4" max="4" width="14" hidden="0" customWidth="1"/>
    <x:col min="5" max="5" width="18" hidden="0" customWidth="1"/>
    <x:col min="6" max="6" width="34" hidden="0" customWidth="1"/>
    <x:col min="7" max="7" width="12" hidden="0" customWidth="1"/>
    <x:col min="8" max="8" width="34" hidden="0" customWidth="1"/>
    <x:col min="9" max="9" width="22" hidden="0" customWidth="1"/>
  </x:cols>
  <x:sheetData>
    <x:row r="1">
      <x:c r="A1" s="109" t="str">
        <x:v>摘录ID</x:v>
      </x:c>
      <x:c r="B1" s="109" t="str">
        <x:v>回目</x:v>
      </x:c>
      <x:c r="C1" s="109" t="str">
        <x:v>摘录/定位</x:v>
      </x:c>
      <x:c r="D1" s="109" t="str">
        <x:v>摘录类型</x:v>
      </x:c>
      <x:c r="E1" s="109" t="str">
        <x:v>关联难次/专题</x:v>
      </x:c>
      <x:c r="F1" s="109" t="str">
        <x:v>可支撑观点</x:v>
      </x:c>
      <x:c r="G1" s="109" t="str">
        <x:v>校核状态</x:v>
      </x:c>
      <x:c r="H1" s="109" t="str">
        <x:v>来源URL</x:v>
      </x:c>
      <x:c r="I1" s="109" t="str">
        <x:v>备注</x:v>
      </x:c>
    </x:row>
    <x:row r="2">
      <x:c r="A2" s="27" t="str">
        <x:v>Q099-001</x:v>
      </x:c>
      <x:c r="B2" s="27" t="str">
        <x:v>第99回</x:v>
      </x:c>
      <x:c r="C2" s="27" t="str">
        <x:v>「災難的簿子」</x:v>
      </x:c>
      <x:c r="D2" s="27" t="str">
        <x:v>术语/制度</x:v>
      </x:c>
      <x:c r="E2" s="27" t="str">
        <x:v>八十一难总表</x:v>
      </x:c>
      <x:c r="F2" s="27" t="str">
        <x:v>取经过程有可登记、可复核的“难数清单”</x:v>
      </x:c>
      <x:c r="G2" s="27" t="str">
        <x:v>已核</x:v>
      </x:c>
      <x:c r="H2" s="27" t="str">
        <x:v>https://zh.wikisource.org/wiki/西遊記/第099回</x:v>
      </x:c>
      <x:c r="I2" s="27" t="str">
        <x:v>用于说明校核表来源</x:v>
      </x:c>
    </x:row>
    <x:row r="3">
      <x:c r="A3" s="27" t="str">
        <x:v>Q099-002</x:v>
      </x:c>
      <x:c r="B3" s="27" t="str">
        <x:v>第99回</x:v>
      </x:c>
      <x:c r="C3" s="27" t="str">
        <x:v>「金蟬遭貶第一難」</x:v>
      </x:c>
      <x:c r="D3" s="27" t="str">
        <x:v>难簿原文</x:v>
      </x:c>
      <x:c r="E3" s="27" t="str">
        <x:v>第1难</x:v>
      </x:c>
      <x:c r="F3" s="27" t="str">
        <x:v>八十一难从前世因缘开始</x:v>
      </x:c>
      <x:c r="G3" s="27" t="str">
        <x:v>已核</x:v>
      </x:c>
      <x:c r="H3" s="27" t="str">
        <x:v>https://zh.wikisource.org/wiki/西遊記/第099回</x:v>
      </x:c>
      <x:c r="I3" s="27" t="str"/>
    </x:row>
    <x:row r="4">
      <x:c r="A4" s="27" t="str">
        <x:v>Q099-003</x:v>
      </x:c>
      <x:c r="B4" s="27" t="str">
        <x:v>第99回</x:v>
      </x:c>
      <x:c r="C4" s="27" t="str">
        <x:v>「出胎幾殺第二難」</x:v>
      </x:c>
      <x:c r="D4" s="27" t="str">
        <x:v>难簿原文</x:v>
      </x:c>
      <x:c r="E4" s="27" t="str">
        <x:v>第2难</x:v>
      </x:c>
      <x:c r="F4" s="27" t="str">
        <x:v>唐僧身世本身即含生命风险</x:v>
      </x:c>
      <x:c r="G4" s="27" t="str">
        <x:v>已核</x:v>
      </x:c>
      <x:c r="H4" s="27" t="str">
        <x:v>https://zh.wikisource.org/wiki/西遊記/第099回</x:v>
      </x:c>
      <x:c r="I4" s="27" t="str"/>
    </x:row>
    <x:row r="5">
      <x:c r="A5" s="27" t="str">
        <x:v>Q099-004</x:v>
      </x:c>
      <x:c r="B5" s="27" t="str">
        <x:v>第99回</x:v>
      </x:c>
      <x:c r="C5" s="27" t="str">
        <x:v>「雙叉嶺上第七難」</x:v>
      </x:c>
      <x:c r="D5" s="27" t="str">
        <x:v>难簿原文</x:v>
      </x:c>
      <x:c r="E5" s="27" t="str">
        <x:v>第7难</x:v>
      </x:c>
      <x:c r="F5" s="27" t="str">
        <x:v>正式西行初期即为山林妖怪风险</x:v>
      </x:c>
      <x:c r="G5" s="27" t="str">
        <x:v>已核</x:v>
      </x:c>
      <x:c r="H5" s="27" t="str">
        <x:v>https://zh.wikisource.org/wiki/西遊記/第099回</x:v>
      </x:c>
      <x:c r="I5" s="27" t="str"/>
    </x:row>
    <x:row r="6">
      <x:c r="A6" s="27" t="str">
        <x:v>Q099-005</x:v>
      </x:c>
      <x:c r="B6" s="27" t="str">
        <x:v>第99回</x:v>
      </x:c>
      <x:c r="C6" s="27" t="str">
        <x:v>「兩界山頭第八難」</x:v>
      </x:c>
      <x:c r="D6" s="27" t="str">
        <x:v>难簿原文</x:v>
      </x:c>
      <x:c r="E6" s="27" t="str">
        <x:v>第8难</x:v>
      </x:c>
      <x:c r="F6" s="27" t="str">
        <x:v>收悟空也是一难，能力归队本身伴随风险</x:v>
      </x:c>
      <x:c r="G6" s="27" t="str">
        <x:v>已核</x:v>
      </x:c>
      <x:c r="H6" s="27" t="str">
        <x:v>https://zh.wikisource.org/wiki/西遊記/第099回</x:v>
      </x:c>
      <x:c r="I6" s="27" t="str"/>
    </x:row>
    <x:row r="7">
      <x:c r="A7" s="27" t="str">
        <x:v>Q099-006</x:v>
      </x:c>
      <x:c r="B7" s="27" t="str">
        <x:v>第99回</x:v>
      </x:c>
      <x:c r="C7" s="27" t="str">
        <x:v>「陡澗換馬第九難」</x:v>
      </x:c>
      <x:c r="D7" s="27" t="str">
        <x:v>难簿原文</x:v>
      </x:c>
      <x:c r="E7" s="27" t="str">
        <x:v>第9难</x:v>
      </x:c>
      <x:c r="F7" s="27" t="str">
        <x:v>白龙马是承载系统，不只是坐骑</x:v>
      </x:c>
      <x:c r="G7" s="27" t="str">
        <x:v>已核</x:v>
      </x:c>
      <x:c r="H7" s="27" t="str">
        <x:v>https://zh.wikisource.org/wiki/西遊記/第099回</x:v>
      </x:c>
      <x:c r="I7" s="27" t="str"/>
    </x:row>
    <x:row r="8">
      <x:c r="A8" s="27" t="str">
        <x:v>Q099-007</x:v>
      </x:c>
      <x:c r="B8" s="27" t="str">
        <x:v>第99回</x:v>
      </x:c>
      <x:c r="C8" s="27" t="str">
        <x:v>「夜被火燒第十難」</x:v>
      </x:c>
      <x:c r="D8" s="27" t="str">
        <x:v>难簿原文</x:v>
      </x:c>
      <x:c r="E8" s="27" t="str">
        <x:v>第10难</x:v>
      </x:c>
      <x:c r="F8" s="27" t="str">
        <x:v>火灾与贪念、资产展示相关</x:v>
      </x:c>
      <x:c r="G8" s="27" t="str">
        <x:v>已核</x:v>
      </x:c>
      <x:c r="H8" s="27" t="str">
        <x:v>https://zh.wikisource.org/wiki/西遊記/第099回</x:v>
      </x:c>
      <x:c r="I8" s="27" t="str"/>
    </x:row>
    <x:row r="9">
      <x:c r="A9" s="27" t="str">
        <x:v>Q099-008</x:v>
      </x:c>
      <x:c r="B9" s="27" t="str">
        <x:v>第99回</x:v>
      </x:c>
      <x:c r="C9" s="27" t="str">
        <x:v>「失卻袈裟十一難」</x:v>
      </x:c>
      <x:c r="D9" s="27" t="str">
        <x:v>难簿原文</x:v>
      </x:c>
      <x:c r="E9" s="27" t="str">
        <x:v>第11难</x:v>
      </x:c>
      <x:c r="F9" s="27" t="str">
        <x:v>法衣/宝物失窃是资产风险样本</x:v>
      </x:c>
      <x:c r="G9" s="27" t="str">
        <x:v>已核</x:v>
      </x:c>
      <x:c r="H9" s="27" t="str">
        <x:v>https://zh.wikisource.org/wiki/西遊記/第099回</x:v>
      </x:c>
      <x:c r="I9" s="27" t="str"/>
    </x:row>
    <x:row r="10">
      <x:c r="A10" s="27" t="str">
        <x:v>Q099-009</x:v>
      </x:c>
      <x:c r="B10" s="27" t="str">
        <x:v>第99回</x:v>
      </x:c>
      <x:c r="C10" s="27" t="str">
        <x:v>「貶退心猿二十難」</x:v>
      </x:c>
      <x:c r="D10" s="27" t="str">
        <x:v>难簿原文</x:v>
      </x:c>
      <x:c r="E10" s="27" t="str">
        <x:v>第20难</x:v>
      </x:c>
      <x:c r="F10" s="27" t="str">
        <x:v>三打白骨精后的核心人才离队是重大团队风险</x:v>
      </x:c>
      <x:c r="G10" s="27" t="str">
        <x:v>已核</x:v>
      </x:c>
      <x:c r="H10" s="27" t="str">
        <x:v>https://zh.wikisource.org/wiki/西遊記/第099回</x:v>
      </x:c>
      <x:c r="I10" s="27" t="str"/>
    </x:row>
    <x:row r="11">
      <x:c r="A11" s="27" t="str">
        <x:v>Q099-010</x:v>
      </x:c>
      <x:c r="B11" s="27" t="str">
        <x:v>第99回</x:v>
      </x:c>
      <x:c r="C11" s="27" t="str">
        <x:v>「難辨獼猴四十六難」</x:v>
      </x:c>
      <x:c r="D11" s="27" t="str">
        <x:v>难簿原文</x:v>
      </x:c>
      <x:c r="E11" s="27" t="str">
        <x:v>第46难</x:v>
      </x:c>
      <x:c r="F11" s="27" t="str">
        <x:v>真假美猴王是身份、心性与二心之难</x:v>
      </x:c>
      <x:c r="G11" s="27" t="str">
        <x:v>已核</x:v>
      </x:c>
      <x:c r="H11" s="27" t="str">
        <x:v>https://zh.wikisource.org/wiki/西遊記/第099回</x:v>
      </x:c>
      <x:c r="I11" s="27" t="str"/>
    </x:row>
    <x:row r="12">
      <x:c r="A12" s="27" t="str">
        <x:v>Q099-011</x:v>
      </x:c>
      <x:c r="B12" s="27" t="str">
        <x:v>第99回</x:v>
      </x:c>
      <x:c r="C12" s="27" t="str">
        <x:v>「路阻火焰山四十七難」</x:v>
      </x:c>
      <x:c r="D12" s="27" t="str">
        <x:v>难簿原文</x:v>
      </x:c>
      <x:c r="E12" s="27" t="str">
        <x:v>第47难</x:v>
      </x:c>
      <x:c r="F12" s="27" t="str">
        <x:v>不可绕行的环境约束构成取经难题</x:v>
      </x:c>
      <x:c r="G12" s="27" t="str">
        <x:v>已核</x:v>
      </x:c>
      <x:c r="H12" s="27" t="str">
        <x:v>https://zh.wikisource.org/wiki/西遊記/第099回</x:v>
      </x:c>
      <x:c r="I12" s="27" t="str"/>
    </x:row>
    <x:row r="13">
      <x:c r="A13" s="27" t="str">
        <x:v>Q099-012</x:v>
      </x:c>
      <x:c r="B13" s="27" t="str">
        <x:v>第99回</x:v>
      </x:c>
      <x:c r="C13" s="27" t="str">
        <x:v>「求取芭蕉扇四十八難」</x:v>
      </x:c>
      <x:c r="D13" s="27" t="str">
        <x:v>难簿原文</x:v>
      </x:c>
      <x:c r="E13" s="27" t="str">
        <x:v>第48难</x:v>
      </x:c>
      <x:c r="F13" s="27" t="str">
        <x:v>关键资源争夺是火焰山破局的核心</x:v>
      </x:c>
      <x:c r="G13" s="27" t="str">
        <x:v>已核</x:v>
      </x:c>
      <x:c r="H13" s="27" t="str">
        <x:v>https://zh.wikisource.org/wiki/西遊記/第099回</x:v>
      </x:c>
      <x:c r="I13" s="27" t="str"/>
    </x:row>
    <x:row r="14">
      <x:c r="A14" s="27" t="str">
        <x:v>Q099-013</x:v>
      </x:c>
      <x:c r="B14" s="27" t="str">
        <x:v>第99回</x:v>
      </x:c>
      <x:c r="C14" s="27" t="str">
        <x:v>「小雷音遇難五十三難」</x:v>
      </x:c>
      <x:c r="D14" s="27" t="str">
        <x:v>难簿原文</x:v>
      </x:c>
      <x:c r="E14" s="27" t="str">
        <x:v>第53难</x:v>
      </x:c>
      <x:c r="F14" s="27" t="str">
        <x:v>假权威的危险在于高度拟真</x:v>
      </x:c>
      <x:c r="G14" s="27" t="str">
        <x:v>已核</x:v>
      </x:c>
      <x:c r="H14" s="27" t="str">
        <x:v>https://zh.wikisource.org/wiki/西遊記/第099回</x:v>
      </x:c>
      <x:c r="I14" s="27" t="str"/>
    </x:row>
    <x:row r="15">
      <x:c r="A15" s="27" t="str">
        <x:v>Q099-014</x:v>
      </x:c>
      <x:c r="B15" s="27" t="str">
        <x:v>第99回</x:v>
      </x:c>
      <x:c r="C15" s="27" t="str">
        <x:v>「七情迷沒五十九難」</x:v>
      </x:c>
      <x:c r="D15" s="27" t="str">
        <x:v>难簿原文</x:v>
      </x:c>
      <x:c r="E15" s="27" t="str">
        <x:v>第59难</x:v>
      </x:c>
      <x:c r="F15" s="27" t="str">
        <x:v>盘丝洞可归入七情欲望与身体缠缚</x:v>
      </x:c>
      <x:c r="G15" s="27" t="str">
        <x:v>已核</x:v>
      </x:c>
      <x:c r="H15" s="27" t="str">
        <x:v>https://zh.wikisource.org/wiki/西遊記/第099回</x:v>
      </x:c>
      <x:c r="I15" s="27" t="str"/>
    </x:row>
    <x:row r="16">
      <x:c r="A16" s="27" t="str">
        <x:v>Q099-015</x:v>
      </x:c>
      <x:c r="B16" s="27" t="str">
        <x:v>第99回</x:v>
      </x:c>
      <x:c r="C16" s="27" t="str">
        <x:v>「路阻獅駝六十一難」</x:v>
      </x:c>
      <x:c r="D16" s="27" t="str">
        <x:v>难簿原文</x:v>
      </x:c>
      <x:c r="E16" s="27" t="str">
        <x:v>第61难</x:v>
      </x:c>
      <x:c r="F16" s="27" t="str">
        <x:v>狮驼岭是组织化妖怪风险的代表</x:v>
      </x:c>
      <x:c r="G16" s="27" t="str">
        <x:v>已核</x:v>
      </x:c>
      <x:c r="H16" s="27" t="str">
        <x:v>https://zh.wikisource.org/wiki/西遊記/第099回</x:v>
      </x:c>
      <x:c r="I16" s="27" t="str"/>
    </x:row>
    <x:row r="17">
      <x:c r="A17" s="27" t="str">
        <x:v>Q099-016</x:v>
      </x:c>
      <x:c r="B17" s="27" t="str">
        <x:v>第99回</x:v>
      </x:c>
      <x:c r="C17" s="27" t="str">
        <x:v>「請佛收魔六十四難」</x:v>
      </x:c>
      <x:c r="D17" s="27" t="str">
        <x:v>难簿原文</x:v>
      </x:c>
      <x:c r="E17" s="27" t="str">
        <x:v>第64难</x:v>
      </x:c>
      <x:c r="F17" s="27" t="str">
        <x:v>最高系统介入收束极端风险</x:v>
      </x:c>
      <x:c r="G17" s="27" t="str">
        <x:v>已核</x:v>
      </x:c>
      <x:c r="H17" s="27" t="str">
        <x:v>https://zh.wikisource.org/wiki/西遊記/第099回</x:v>
      </x:c>
      <x:c r="I17" s="27" t="str"/>
    </x:row>
    <x:row r="18">
      <x:c r="A18" s="27" t="str">
        <x:v>Q099-017</x:v>
      </x:c>
      <x:c r="B18" s="27" t="str">
        <x:v>第99回</x:v>
      </x:c>
      <x:c r="C18" s="27" t="str">
        <x:v>「滅法國難行七十難」</x:v>
      </x:c>
      <x:c r="D18" s="27" t="str">
        <x:v>难簿原文</x:v>
      </x:c>
      <x:c r="E18" s="27" t="str">
        <x:v>第70难</x:v>
      </x:c>
      <x:c r="F18" s="27" t="str">
        <x:v>非妖之难：制度性偏见也是取经难题</x:v>
      </x:c>
      <x:c r="G18" s="27" t="str">
        <x:v>已核</x:v>
      </x:c>
      <x:c r="H18" s="27" t="str">
        <x:v>https://zh.wikisource.org/wiki/西遊記/第099回</x:v>
      </x:c>
      <x:c r="I18" s="27" t="str"/>
    </x:row>
    <x:row r="19">
      <x:c r="A19" s="27" t="str">
        <x:v>Q099-018</x:v>
      </x:c>
      <x:c r="B19" s="27" t="str">
        <x:v>第99回</x:v>
      </x:c>
      <x:c r="C19" s="27" t="str">
        <x:v>「鳳仙郡求雨七十二難」</x:v>
      </x:c>
      <x:c r="D19" s="27" t="str">
        <x:v>难簿原文</x:v>
      </x:c>
      <x:c r="E19" s="27" t="str">
        <x:v>第72难</x:v>
      </x:c>
      <x:c r="F19" s="27" t="str">
        <x:v>天灾治理与德政修复相连</x:v>
      </x:c>
      <x:c r="G19" s="27" t="str">
        <x:v>已核</x:v>
      </x:c>
      <x:c r="H19" s="27" t="str">
        <x:v>https://zh.wikisource.org/wiki/西遊記/第099回</x:v>
      </x:c>
      <x:c r="I19" s="27" t="str"/>
    </x:row>
    <x:row r="20">
      <x:c r="A20" s="27" t="str">
        <x:v>Q099-019</x:v>
      </x:c>
      <x:c r="B20" s="27" t="str">
        <x:v>第99回</x:v>
      </x:c>
      <x:c r="C20" s="27" t="str">
        <x:v>「天竺招婚七十八難」</x:v>
      </x:c>
      <x:c r="D20" s="27" t="str">
        <x:v>难簿原文</x:v>
      </x:c>
      <x:c r="E20" s="27" t="str">
        <x:v>第78难</x:v>
      </x:c>
      <x:c r="F20" s="27" t="str">
        <x:v>临近灵山仍有身份替换与婚姻诱惑</x:v>
      </x:c>
      <x:c r="G20" s="27" t="str">
        <x:v>已核</x:v>
      </x:c>
      <x:c r="H20" s="27" t="str">
        <x:v>https://zh.wikisource.org/wiki/西遊記/第099回</x:v>
      </x:c>
      <x:c r="I20" s="27" t="str"/>
    </x:row>
    <x:row r="21">
      <x:c r="A21" s="27" t="str">
        <x:v>Q099-020</x:v>
      </x:c>
      <x:c r="B21" s="27" t="str">
        <x:v>第99回</x:v>
      </x:c>
      <x:c r="C21" s="27" t="str">
        <x:v>「凌雲渡脫胎八十難」</x:v>
      </x:c>
      <x:c r="D21" s="27" t="str">
        <x:v>难簿原文</x:v>
      </x:c>
      <x:c r="E21" s="27" t="str">
        <x:v>第80难</x:v>
      </x:c>
      <x:c r="F21" s="27" t="str">
        <x:v>脱胎并非终局，仍需补足九九归真</x:v>
      </x:c>
      <x:c r="G21" s="27" t="str">
        <x:v>已核</x:v>
      </x:c>
      <x:c r="H21" s="27" t="str">
        <x:v>https://zh.wikisource.org/wiki/西遊記/第099回</x:v>
      </x:c>
      <x:c r="I21" s="27" t="str"/>
    </x:row>
    <x:row r="22">
      <x:c r="A22" s="27" t="str">
        <x:v>Q099-021</x:v>
      </x:c>
      <x:c r="B22" s="27" t="str">
        <x:v>第99回</x:v>
      </x:c>
      <x:c r="C22" s="27" t="str">
        <x:v>「還少一難，不得完成此數」</x:v>
      </x:c>
      <x:c r="D22" s="27" t="str">
        <x:v>关键判断</x:v>
      </x:c>
      <x:c r="E22" s="27" t="str">
        <x:v>第81难依据</x:v>
      </x:c>
      <x:c r="F22" s="27" t="str">
        <x:v>第99回明示八十难不足，必须补足一难</x:v>
      </x:c>
      <x:c r="G22" s="27" t="str">
        <x:v>已核</x:v>
      </x:c>
      <x:c r="H22" s="27" t="str">
        <x:v>https://zh.wikisource.org/wiki/西遊記/第099回</x:v>
      </x:c>
      <x:c r="I22" s="27" t="str"/>
    </x:row>
    <x:row r="23">
      <x:c r="A23" s="27" t="str">
        <x:v>Q099-022</x:v>
      </x:c>
      <x:c r="B23" s="27" t="str">
        <x:v>第99回</x:v>
      </x:c>
      <x:c r="C23" s="27" t="str">
        <x:v>「老黿……果曾問否？」</x:v>
      </x:c>
      <x:c r="D23" s="27" t="str">
        <x:v>情节证据</x:v>
      </x:c>
      <x:c r="E23" s="27" t="str">
        <x:v>第81难依据</x:v>
      </x:c>
      <x:c r="F23" s="27" t="str">
        <x:v>老鼋追问承诺，触发最后一难</x:v>
      </x:c>
      <x:c r="G23" s="27" t="str">
        <x:v>已核</x:v>
      </x:c>
      <x:c r="H23" s="27" t="str">
        <x:v>https://zh.wikisource.org/wiki/西遊記/第099回</x:v>
      </x:c>
      <x:c r="I23" s="27" t="str"/>
    </x:row>
    <x:row r="24">
      <x:c r="A24" s="27" t="str">
        <x:v>Q099-023</x:v>
      </x:c>
      <x:c r="B24" s="27" t="str">
        <x:v>第99回</x:v>
      </x:c>
      <x:c r="C24" s="27" t="str">
        <x:v>「不曾問得，無言可答」</x:v>
      </x:c>
      <x:c r="D24" s="27" t="str">
        <x:v>情节证据</x:v>
      </x:c>
      <x:c r="E24" s="27" t="str">
        <x:v>第81难依据</x:v>
      </x:c>
      <x:c r="F24" s="27" t="str">
        <x:v>未尽之约成为成果归途风险</x:v>
      </x:c>
      <x:c r="G24" s="27" t="str">
        <x:v>已核</x:v>
      </x:c>
      <x:c r="H24" s="27" t="str">
        <x:v>https://zh.wikisource.org/wiki/西遊記/第099回</x:v>
      </x:c>
      <x:c r="I24" s="27" t="str"/>
    </x:row>
    <x:row r="25">
      <x:c r="A25" s="27" t="str">
        <x:v>Q099-024</x:v>
      </x:c>
      <x:c r="B25" s="27" t="str">
        <x:v>第99回</x:v>
      </x:c>
      <x:c r="C25" s="27" t="str">
        <x:v>「就將身一幌……通皆落水」</x:v>
      </x:c>
      <x:c r="D25" s="27" t="str">
        <x:v>情节证据</x:v>
      </x:c>
      <x:c r="E25" s="27" t="str">
        <x:v>第81难依据</x:v>
      </x:c>
      <x:c r="F25" s="27" t="str">
        <x:v>老鼋落水补足最后一难</x:v>
      </x:c>
      <x:c r="G25" s="27" t="str">
        <x:v>已核</x:v>
      </x:c>
      <x:c r="H25" s="27" t="str">
        <x:v>https://zh.wikisource.org/wiki/西遊記/第099回</x:v>
      </x:c>
      <x:c r="I25" s="27" t="str"/>
    </x:row>
    <x:row r="26">
      <x:c r="A26" s="27" t="str">
        <x:v>Q099-025</x:v>
      </x:c>
      <x:c r="B26" s="27" t="str">
        <x:v>第99回</x:v>
      </x:c>
      <x:c r="C26" s="27" t="str">
        <x:v>「經包、衣服、鞍轡俱濕了」</x:v>
      </x:c>
      <x:c r="D26" s="27" t="str">
        <x:v>情节证据</x:v>
      </x:c>
      <x:c r="E26" s="27" t="str">
        <x:v>成果保护</x:v>
      </x:c>
      <x:c r="F26" s="27" t="str">
        <x:v>取经成果到手后仍有保护风险</x:v>
      </x:c>
      <x:c r="G26" s="27" t="str">
        <x:v>已核</x:v>
      </x:c>
      <x:c r="H26" s="27" t="str">
        <x:v>https://zh.wikisource.org/wiki/西遊記/第099回</x:v>
      </x:c>
      <x:c r="I26" s="27" t="str"/>
    </x:row>
    <x:row r="27">
      <x:c r="A27" s="27" t="str">
        <x:v>Q099-026</x:v>
      </x:c>
      <x:c r="B27" s="27" t="str">
        <x:v>第99回</x:v>
      </x:c>
      <x:c r="C27" s="27" t="str">
        <x:v>「欲來暗奪之耳」</x:v>
      </x:c>
      <x:c r="D27" s="27" t="str">
        <x:v>情节证据</x:v>
      </x:c>
      <x:c r="E27" s="27" t="str">
        <x:v>成果保护</x:v>
      </x:c>
      <x:c r="F27" s="27" t="str">
        <x:v>真经到手后仍有阴魔夺经风险</x:v>
      </x:c>
      <x:c r="G27" s="27" t="str">
        <x:v>已核</x:v>
      </x:c>
      <x:c r="H27" s="27" t="str">
        <x:v>https://zh.wikisource.org/wiki/西遊記/第099回</x:v>
      </x:c>
      <x:c r="I27" s="27" t="str"/>
    </x:row>
    <x:row r="28">
      <x:c r="A28" s="27" t="str">
        <x:v>Q099-027</x:v>
      </x:c>
      <x:c r="B28" s="27" t="str">
        <x:v>第99回</x:v>
      </x:c>
      <x:c r="C28" s="27" t="str">
        <x:v>「曬經之石尚存」</x:v>
      </x:c>
      <x:c r="D28" s="27" t="str">
        <x:v>地名/遗迹</x:v>
      </x:c>
      <x:c r="E28" s="27" t="str">
        <x:v>成果保护</x:v>
      </x:c>
      <x:c r="F28" s="27" t="str">
        <x:v>晒经石成为最后一难的痕迹</x:v>
      </x:c>
      <x:c r="G28" s="27" t="str">
        <x:v>已核</x:v>
      </x:c>
      <x:c r="H28" s="27" t="str">
        <x:v>https://zh.wikisource.org/wiki/西遊記/第099回</x:v>
      </x:c>
      <x:c r="I28" s="27" t="str"/>
    </x:row>
    <x:row r="29">
      <x:c r="A29" s="27" t="str">
        <x:v>Q099-028</x:v>
      </x:c>
      <x:c r="B29" s="27" t="str">
        <x:v>第99回</x:v>
      </x:c>
      <x:c r="C29" s="27" t="str">
        <x:v>「天地不全，這經原是全全的」</x:v>
      </x:c>
      <x:c r="D29" s="27" t="str">
        <x:v>思想判断</x:v>
      </x:c>
      <x:c r="E29" s="27" t="str">
        <x:v>经卷不全</x:v>
      </x:c>
      <x:c r="F29" s="27" t="str">
        <x:v>成果的不完全性被纳入天道/叙事解释</x:v>
      </x:c>
      <x:c r="G29" s="27" t="str">
        <x:v>已核</x:v>
      </x:c>
      <x:c r="H29" s="27" t="str">
        <x:v>https://zh.wikisource.org/wiki/西遊記/第099回</x:v>
      </x:c>
      <x:c r="I29" s="27" t="str"/>
    </x:row>
    <x:row r="30">
      <x:c r="A30" s="27" t="str">
        <x:v>Q099-029</x:v>
      </x:c>
      <x:c r="B30" s="27" t="str">
        <x:v>第99回</x:v>
      </x:c>
      <x:c r="C30" s="27" t="str">
        <x:v>「莫把經章當容易」</x:v>
      </x:c>
      <x:c r="D30" s="27" t="str">
        <x:v>诗句/警策</x:v>
      </x:c>
      <x:c r="E30" s="27" t="str">
        <x:v>总体主题</x:v>
      </x:c>
      <x:c r="F30" s="27" t="str">
        <x:v>取经成果不可轻易视为可得之物</x:v>
      </x:c>
      <x:c r="G30" s="27" t="str">
        <x:v>已核</x:v>
      </x:c>
      <x:c r="H30" s="27" t="str">
        <x:v>https://zh.wikisource.org/wiki/西遊記/第099回</x:v>
      </x:c>
      <x:c r="I30" s="27" t="str"/>
    </x:row>
    <x:row r="31">
      <x:c r="A31" s="27" t="str">
        <x:v>Q099-030</x:v>
      </x:c>
      <x:c r="B31" s="27" t="str">
        <x:v>第99回</x:v>
      </x:c>
      <x:c r="C31" s="27" t="str">
        <x:v>「九九歸真道行難」</x:v>
      </x:c>
      <x:c r="D31" s="27" t="str">
        <x:v>诗句/警策</x:v>
      </x:c>
      <x:c r="E31" s="27" t="str">
        <x:v>总体主题</x:v>
      </x:c>
      <x:c r="F31" s="27" t="str">
        <x:v>九九归真强调最后阶段仍须经难</x:v>
      </x:c>
      <x:c r="G31" s="27" t="str">
        <x:v>已核</x:v>
      </x:c>
      <x:c r="H31" s="27" t="str">
        <x:v>https://zh.wikisource.org/wiki/西遊記/第099回</x:v>
      </x:c>
      <x:c r="I31" s="27" t="str"/>
    </x:row>
    <x:row r="32">
      <x:c r="A32" s="27" t="str">
        <x:v>TODO-001</x:v>
      </x:c>
      <x:c r="B32" s="27" t="str">
        <x:v>第1—8回</x:v>
      </x:c>
      <x:c r="C32" s="27" t="str">
        <x:v>待摘录：孙悟空出世、学道、大闹天宫相关关键句</x:v>
      </x:c>
      <x:c r="D32" s="27" t="str">
        <x:v>待摘录</x:v>
      </x:c>
      <x:c r="E32" s="27" t="str">
        <x:v>前传/心性总纲</x:v>
      </x:c>
      <x:c r="F32" s="27" t="str">
        <x:v>补充心猿成长史证据</x:v>
      </x:c>
      <x:c r="G32" s="27" t="str">
        <x:v>待摘录</x:v>
      </x:c>
      <x:c r="H32" s="27" t="str">
        <x:v>https://zh.wikisource.org/wiki/西遊記</x:v>
      </x:c>
      <x:c r="I32" s="27" t="str">
        <x:v>下一轮优先</x:v>
      </x:c>
    </x:row>
    <x:row r="33">
      <x:c r="A33" s="27" t="str">
        <x:v>TODO-002</x:v>
      </x:c>
      <x:c r="B33" s="27" t="str">
        <x:v>第27回</x:v>
      </x:c>
      <x:c r="C33" s="27" t="str">
        <x:v>待摘录：三打白骨精与唐僧逐猴原文</x:v>
      </x:c>
      <x:c r="D33" s="27" t="str">
        <x:v>待摘录</x:v>
      </x:c>
      <x:c r="E33" s="27" t="str">
        <x:v>第20难/团队信任</x:v>
      </x:c>
      <x:c r="F33" s="27" t="str">
        <x:v>补充领导误判与专业判断冲突</x:v>
      </x:c>
      <x:c r="G33" s="27" t="str">
        <x:v>待摘录</x:v>
      </x:c>
      <x:c r="H33" s="27" t="str">
        <x:v>https://zh.wikisource.org/wiki/西遊記</x:v>
      </x:c>
      <x:c r="I33" s="27" t="str">
        <x:v>下一轮优先</x:v>
      </x:c>
    </x:row>
    <x:row r="34">
      <x:c r="A34" s="27" t="str">
        <x:v>TODO-003</x:v>
      </x:c>
      <x:c r="B34" s="27" t="str">
        <x:v>第58回</x:v>
      </x:c>
      <x:c r="C34" s="27" t="str">
        <x:v>待摘录：真假美猴王与二心辨析原文</x:v>
      </x:c>
      <x:c r="D34" s="27" t="str">
        <x:v>待摘录</x:v>
      </x:c>
      <x:c r="E34" s="27" t="str">
        <x:v>第46难/二心</x:v>
      </x:c>
      <x:c r="F34" s="27" t="str">
        <x:v>补充心性分裂专题证据</x:v>
      </x:c>
      <x:c r="G34" s="27" t="str">
        <x:v>待摘录</x:v>
      </x:c>
      <x:c r="H34" s="27" t="str">
        <x:v>https://zh.wikisource.org/wiki/西遊記</x:v>
      </x:c>
      <x:c r="I34" s="27" t="str">
        <x:v>下一轮优先</x:v>
      </x:c>
    </x:row>
    <x:row r="35">
      <x:c r="A35" s="27" t="str">
        <x:v>TODO-004</x:v>
      </x:c>
      <x:c r="B35" s="27" t="str">
        <x:v>第65—66回</x:v>
      </x:c>
      <x:c r="C35" s="27" t="str">
        <x:v>待摘录：小雷音寺假佛、金铙、人种袋原文</x:v>
      </x:c>
      <x:c r="D35" s="27" t="str">
        <x:v>待摘录</x:v>
      </x:c>
      <x:c r="E35" s="27" t="str">
        <x:v>第53—54难/假权威</x:v>
      </x:c>
      <x:c r="F35" s="27" t="str">
        <x:v>补充假权威和法宝压制救援系统</x:v>
      </x:c>
      <x:c r="G35" s="27" t="str">
        <x:v>待摘录</x:v>
      </x:c>
      <x:c r="H35" s="27" t="str">
        <x:v>https://zh.wikisource.org/wiki/西遊記</x:v>
      </x:c>
      <x:c r="I35" s="27" t="str">
        <x:v>下一轮优先</x:v>
      </x:c>
    </x:row>
    <x:row r="36">
      <x:c r="A36" s="27" t="str">
        <x:v>TODO-005</x:v>
      </x:c>
      <x:c r="B36" s="27" t="str">
        <x:v>第74—77回</x:v>
      </x:c>
      <x:c r="C36" s="27" t="str">
        <x:v>待摘录：狮驼岭预警、三魔、如来收魔原文</x:v>
      </x:c>
      <x:c r="D36" s="27" t="str">
        <x:v>待摘录</x:v>
      </x:c>
      <x:c r="E36" s="27" t="str">
        <x:v>第61—64难/组织化妖怪</x:v>
      </x:c>
      <x:c r="F36" s="27" t="str">
        <x:v>补充极端风险治理专题</x:v>
      </x:c>
      <x:c r="G36" s="27" t="str">
        <x:v>待摘录</x:v>
      </x:c>
      <x:c r="H36" s="27" t="str">
        <x:v>https://zh.wikisource.org/wiki/西遊記</x:v>
      </x:c>
      <x:c r="I36" s="27" t="str">
        <x:v>下一轮优先</x:v>
      </x:c>
    </x:row>
    <x:row r="37">
      <x:c r="A37" t="str">
        <x:v>Q027-001</x:v>
      </x:c>
      <x:c r="B37" t="str">
        <x:v>第27回</x:v>
      </x:c>
      <x:c r="C37" t="str">
        <x:v>「山高必有怪，岭峻却生精」</x:v>
      </x:c>
      <x:c r="D37" t="str">
        <x:v>叙事伏笔</x:v>
      </x:c>
      <x:c r="E37" t="str">
        <x:v>三打白骨精：专业判断与领导误判</x:v>
      </x:c>
      <x:c r="F37" t="str">
        <x:v>风险出现前文本已给出预警，悟空的专业判断并非无端暴力。</x:v>
      </x:c>
      <x:c r="G37" t="str">
        <x:v>已核-短摘</x:v>
      </x:c>
      <x:c r="H37" t="str">
        <x:v>https://zh.wikisource.org/wiki/西遊記/第027回</x:v>
      </x:c>
      <x:c r="I37" t="str">
        <x:v>白骨精第一次变作送饭女子</x:v>
      </x:c>
    </x:row>
    <x:row r="38">
      <x:c r="A38" t="str">
        <x:v>Q027-002</x:v>
      </x:c>
      <x:c r="B38" t="str">
        <x:v>第27回</x:v>
      </x:c>
      <x:c r="C38" t="str">
        <x:v>「却是一罐子拖尾巴的长蛆」</x:v>
      </x:c>
      <x:c r="D38" t="str">
        <x:v>实证证据</x:v>
      </x:c>
      <x:c r="E38" t="str">
        <x:v>三打白骨精：专业判断与领导误判</x:v>
      </x:c>
      <x:c r="F38" t="str">
        <x:v>现场证据能证明风险，但仍可能被内部噪声抵消。</x:v>
      </x:c>
      <x:c r="G38" t="str">
        <x:v>已核-短摘</x:v>
      </x:c>
      <x:c r="H38" t="str">
        <x:v>https://zh.wikisource.org/wiki/西遊記/第027回</x:v>
      </x:c>
      <x:c r="I38" t="str">
        <x:v>悟空识破饭食骗局</x:v>
      </x:c>
    </x:row>
    <x:row r="39">
      <x:c r="A39" t="str">
        <x:v>Q027-003</x:v>
      </x:c>
      <x:c r="B39" t="str">
        <x:v>第27回</x:v>
      </x:c>
      <x:c r="C39" t="str">
        <x:v>「在旁漏八分儿唆嘴」</x:v>
      </x:c>
      <x:c r="D39" t="str">
        <x:v>组织噪声</x:v>
      </x:c>
      <x:c r="E39" t="str">
        <x:v>三打白骨精：专业判断与领导误判</x:v>
      </x:c>
      <x:c r="F39" t="str">
        <x:v>错误信息在组织内部被放大，会削弱专业判断。</x:v>
      </x:c>
      <x:c r="G39" t="str">
        <x:v>已核-短摘</x:v>
      </x:c>
      <x:c r="H39" t="str">
        <x:v>https://zh.wikisource.org/wiki/西遊記/第027回</x:v>
      </x:c>
      <x:c r="I39" t="str">
        <x:v>八戒在旁边挑动误判</x:v>
      </x:c>
    </x:row>
    <x:row r="40">
      <x:c r="A40" t="str">
        <x:v>Q027-004</x:v>
      </x:c>
      <x:c r="B40" t="str">
        <x:v>第27回</x:v>
      </x:c>
      <x:c r="C40" t="str">
        <x:v>「扫地恐伤蝼蚁命」</x:v>
      </x:c>
      <x:c r="D40" t="str">
        <x:v>价值冲突</x:v>
      </x:c>
      <x:c r="E40" t="str">
        <x:v>三打白骨精：专业判断与领导误判</x:v>
      </x:c>
      <x:c r="F40" t="str">
        <x:v>慈悲原则若脱离辨伪能力，容易被伪善利用。</x:v>
      </x:c>
      <x:c r="G40" t="str">
        <x:v>已核-短摘</x:v>
      </x:c>
      <x:c r="H40" t="str">
        <x:v>https://zh.wikisource.org/wiki/西遊記/第027回</x:v>
      </x:c>
      <x:c r="I40" t="str">
        <x:v>唐僧以慈悲立场责备悟空</x:v>
      </x:c>
    </x:row>
    <x:row r="41">
      <x:c r="A41" t="str">
        <x:v>Q027-005</x:v>
      </x:c>
      <x:c r="B41" t="str">
        <x:v>第27回</x:v>
      </x:c>
      <x:c r="C41" t="str">
        <x:v>「你与我在半空中作证」</x:v>
      </x:c>
      <x:c r="D41" t="str">
        <x:v>证据意识</x:v>
      </x:c>
      <x:c r="E41" t="str">
        <x:v>三打白骨精：专业判断与领导误判</x:v>
      </x:c>
      <x:c r="F41" t="str">
        <x:v>悟空并非任性处置，而是尝试建立旁证。</x:v>
      </x:c>
      <x:c r="G41" t="str">
        <x:v>已核-短摘</x:v>
      </x:c>
      <x:c r="H41" t="str">
        <x:v>https://zh.wikisource.org/wiki/西遊記/第027回</x:v>
      </x:c>
      <x:c r="I41" t="str">
        <x:v>悟空请求山神土地作证</x:v>
      </x:c>
    </x:row>
    <x:row r="42">
      <x:c r="A42" t="str">
        <x:v>Q027-006</x:v>
      </x:c>
      <x:c r="B42" t="str">
        <x:v>第27回</x:v>
      </x:c>
      <x:c r="C42" t="str">
        <x:v>「执此为照，再不要你做徒弟了」</x:v>
      </x:c>
      <x:c r="D42" t="str">
        <x:v>决策后果</x:v>
      </x:c>
      <x:c r="E42" t="str">
        <x:v>三打白骨精：专业判断与领导误判</x:v>
      </x:c>
      <x:c r="F42" t="str">
        <x:v>逐走关键人才后，取经系统进入失能风险。</x:v>
      </x:c>
      <x:c r="G42" t="str">
        <x:v>已核-短摘</x:v>
      </x:c>
      <x:c r="H42" t="str">
        <x:v>https://zh.wikisource.org/wiki/西遊記/第027回</x:v>
      </x:c>
      <x:c r="I42" t="str">
        <x:v>唐僧写下贬书逐走悟空</x:v>
      </x:c>
    </x:row>
    <x:row r="43">
      <x:c r="A43" t="str">
        <x:v>Q027-007</x:v>
      </x:c>
      <x:c r="B43" t="str">
        <x:v>第27回</x:v>
      </x:c>
      <x:c r="C43" t="str">
        <x:v>「留心防着八戒詀言詀语」</x:v>
      </x:c>
      <x:c r="D43" t="str">
        <x:v>临别嘱托</x:v>
      </x:c>
      <x:c r="E43" t="str">
        <x:v>三打白骨精：专业判断与领导误判</x:v>
      </x:c>
      <x:c r="F43" t="str">
        <x:v>悟空临走仍在做风险交接，显示责任伦理。</x:v>
      </x:c>
      <x:c r="G43" t="str">
        <x:v>已核-短摘</x:v>
      </x:c>
      <x:c r="H43" t="str">
        <x:v>https://zh.wikisource.org/wiki/西遊記/第027回</x:v>
      </x:c>
      <x:c r="I43" t="str">
        <x:v>悟空含悲离队仍嘱托沙僧</x:v>
      </x:c>
    </x:row>
    <x:row r="44">
      <x:c r="A44" t="str">
        <x:v>Q057-001</x:v>
      </x:c>
      <x:c r="B44" t="str">
        <x:v>第57回</x:v>
      </x:c>
      <x:c r="C44" t="str">
        <x:v>「我还去见我师父，还是正果」</x:v>
      </x:c>
      <x:c r="D44" t="str">
        <x:v>归队意识</x:v>
      </x:c>
      <x:c r="E44" t="str">
        <x:v>真假美猴王：二心与身份复制</x:v>
      </x:c>
      <x:c r="F44" t="str">
        <x:v>真悟空被伤害后仍回到取经目标，显示目标认同。</x:v>
      </x:c>
      <x:c r="G44" t="str">
        <x:v>已核-短摘</x:v>
      </x:c>
      <x:c r="H44" t="str">
        <x:v>https://zh.wikisource.org/wiki/西遊記/第057回</x:v>
      </x:c>
      <x:c r="I44" t="str">
        <x:v>悟空被逐后重新求回团队</x:v>
      </x:c>
    </x:row>
    <x:row r="45">
      <x:c r="A45" t="str">
        <x:v>Q057-002</x:v>
      </x:c>
      <x:c r="B45" t="str">
        <x:v>第57回</x:v>
      </x:c>
      <x:c r="C45" t="str">
        <x:v>「告求菩萨」</x:v>
      </x:c>
      <x:c r="D45" t="str">
        <x:v>申诉机制</x:v>
      </x:c>
      <x:c r="E45" t="str">
        <x:v>真假美猴王：二心与身份复制</x:v>
      </x:c>
      <x:c r="F45" t="str">
        <x:v>当团队内部仲裁失灵，成员转向上级或外部调解。</x:v>
      </x:c>
      <x:c r="G45" t="str">
        <x:v>已核-短摘</x:v>
      </x:c>
      <x:c r="H45" t="str">
        <x:v>https://zh.wikisource.org/wiki/西遊記/第057回</x:v>
      </x:c>
      <x:c r="I45" t="str">
        <x:v>悟空往落伽山诉苦</x:v>
      </x:c>
    </x:row>
    <x:row r="46">
      <x:c r="A46" t="str">
        <x:v>Q057-003</x:v>
      </x:c>
      <x:c r="B46" t="str">
        <x:v>第57回</x:v>
      </x:c>
      <x:c r="C46" t="str">
        <x:v>「假猴王水帘洞謄文」</x:v>
      </x:c>
      <x:c r="D46" t="str">
        <x:v>身份伪造</x:v>
      </x:c>
      <x:c r="E46" t="str">
        <x:v>真假美猴王：二心与身份复制</x:v>
      </x:c>
      <x:c r="F46" t="str">
        <x:v>假悟空不仅复制个人形貌，还复制组织名义。</x:v>
      </x:c>
      <x:c r="G46" t="str">
        <x:v>已核-回目</x:v>
      </x:c>
      <x:c r="H46" t="str">
        <x:v>https://zh.wikisource.org/wiki/西遊記/第057回</x:v>
      </x:c>
      <x:c r="I46" t="str">
        <x:v>假猴王据水帘洞拟造取经班子</x:v>
      </x:c>
    </x:row>
    <x:row r="47">
      <x:c r="A47" t="str">
        <x:v>Q058-004</x:v>
      </x:c>
      <x:c r="B47" t="str">
        <x:v>第58回</x:v>
      </x:c>
      <x:c r="C47" t="str">
        <x:v>「模样与大圣无异」</x:v>
      </x:c>
      <x:c r="D47" t="str">
        <x:v>身份复制</x:v>
      </x:c>
      <x:c r="E47" t="str">
        <x:v>真假美猴王：二心与身份复制</x:v>
      </x:c>
      <x:c r="F47" t="str">
        <x:v>身份风险的最高形态是“外形、能力、话语”全复制。</x:v>
      </x:c>
      <x:c r="G47" t="str">
        <x:v>已核-短摘</x:v>
      </x:c>
      <x:c r="H47" t="str">
        <x:v>https://zh.wikisource.org/wiki/西遊記/第058回</x:v>
      </x:c>
      <x:c r="I47" t="str">
        <x:v>真假悟空初见</x:v>
      </x:c>
    </x:row>
    <x:row r="48">
      <x:c r="A48" t="str">
        <x:v>Q058-005</x:v>
      </x:c>
      <x:c r="B48" t="str">
        <x:v>第58回</x:v>
      </x:c>
      <x:c r="C48" t="str">
        <x:v>「不分真假」</x:v>
      </x:c>
      <x:c r="D48" t="str">
        <x:v>辨识困境</x:v>
      </x:c>
      <x:c r="E48" t="str">
        <x:v>真假美猴王：二心与身份复制</x:v>
      </x:c>
      <x:c r="F48" t="str">
        <x:v>当复制者足够相似，普通识别机制全部失灵。</x:v>
      </x:c>
      <x:c r="G48" t="str">
        <x:v>已核-短摘</x:v>
      </x:c>
      <x:c r="H48" t="str">
        <x:v>https://zh.wikisource.org/wiki/西遊記/第058回</x:v>
      </x:c>
      <x:c r="I48" t="str">
        <x:v>二猴相斗</x:v>
      </x:c>
    </x:row>
    <x:row r="49">
      <x:c r="A49" t="str">
        <x:v>Q058-006</x:v>
      </x:c>
      <x:c r="B49" t="str">
        <x:v>第58回</x:v>
      </x:c>
      <x:c r="C49" t="str">
        <x:v>「二心搅乱大乾坤」</x:v>
      </x:c>
      <x:c r="D49" t="str">
        <x:v>思想主题</x:v>
      </x:c>
      <x:c r="E49" t="str">
        <x:v>真假美猴王：二心与身份复制</x:v>
      </x:c>
      <x:c r="F49" t="str">
        <x:v>真假之争不仅是妖怪事件，更是心性分裂。</x:v>
      </x:c>
      <x:c r="G49" t="str">
        <x:v>已核-回目</x:v>
      </x:c>
      <x:c r="H49" t="str">
        <x:v>https://zh.wikisource.org/wiki/西遊記/第058回</x:v>
      </x:c>
      <x:c r="I49" t="str">
        <x:v>回目点明二心之义</x:v>
      </x:c>
    </x:row>
    <x:row r="50">
      <x:c r="A50" t="str">
        <x:v>Q058-007</x:v>
      </x:c>
      <x:c r="B50" t="str">
        <x:v>第58回</x:v>
      </x:c>
      <x:c r="C50" t="str">
        <x:v>「一体难修真寂灭」</x:v>
      </x:c>
      <x:c r="D50" t="str">
        <x:v>终裁机制</x:v>
      </x:c>
      <x:c r="E50" t="str">
        <x:v>真假美猴王：二心与身份复制</x:v>
      </x:c>
      <x:c r="F50" t="str">
        <x:v>身份复制危机最终需要最高真理系统裁断。</x:v>
      </x:c>
      <x:c r="G50" t="str">
        <x:v>已核-回目</x:v>
      </x:c>
      <x:c r="H50" t="str">
        <x:v>https://zh.wikisource.org/wiki/西遊記/第058回</x:v>
      </x:c>
      <x:c r="I50" t="str">
        <x:v>如来终局裁断</x:v>
      </x:c>
    </x:row>
    <x:row r="51">
      <x:c r="A51" t="str">
        <x:v>Q065-001</x:v>
      </x:c>
      <x:c r="B51" t="str">
        <x:v>第65回</x:v>
      </x:c>
      <x:c r="C51" t="str">
        <x:v>「也似雷音，却又路道差池」</x:v>
      </x:c>
      <x:c r="D51" t="str">
        <x:v>假权威预警</x:v>
      </x:c>
      <x:c r="E51" t="str">
        <x:v>小雷音寺：假权威与成果质量风险</x:v>
      </x:c>
      <x:c r="F51" t="str">
        <x:v>悟空能识别外观相似与路径不符之间的矛盾。</x:v>
      </x:c>
      <x:c r="G51" t="str">
        <x:v>已核-短摘</x:v>
      </x:c>
      <x:c r="H51" t="str">
        <x:v>https://zh.wikisource.org/wiki/西遊記/第065回</x:v>
      </x:c>
      <x:c r="I51" t="str">
        <x:v>小雷音寺外观与雷音相似</x:v>
      </x:c>
    </x:row>
    <x:row r="52">
      <x:c r="A52" t="str">
        <x:v>Q065-002</x:v>
      </x:c>
      <x:c r="B52" t="str">
        <x:v>第65回</x:v>
      </x:c>
      <x:c r="C52" t="str">
        <x:v>「有佛有经，无方无宝」</x:v>
      </x:c>
      <x:c r="D52" t="str">
        <x:v>价值误判</x:v>
      </x:c>
      <x:c r="E52" t="str">
        <x:v>小雷音寺：假权威与成果质量风险</x:v>
      </x:c>
      <x:c r="F52" t="str">
        <x:v>信仰目标若缺少程序辨伪，会被假权威利用。</x:v>
      </x:c>
      <x:c r="G52" t="str">
        <x:v>已核-短摘</x:v>
      </x:c>
      <x:c r="H52" t="str">
        <x:v>https://zh.wikisource.org/wiki/西遊記/第065回</x:v>
      </x:c>
      <x:c r="I52" t="str">
        <x:v>唐僧执意入寺礼拜</x:v>
      </x:c>
    </x:row>
    <x:row r="53">
      <x:c r="A53" t="str">
        <x:v>Q065-003</x:v>
      </x:c>
      <x:c r="B53" t="str">
        <x:v>第65回</x:v>
      </x:c>
      <x:c r="C53" t="str">
        <x:v>「假倚佛名，败坏如来清德」</x:v>
      </x:c>
      <x:c r="D53" t="str">
        <x:v>揭伪判断</x:v>
      </x:c>
      <x:c r="E53" t="str">
        <x:v>小雷音寺：假权威与成果质量风险</x:v>
      </x:c>
      <x:c r="F53" t="str">
        <x:v>假权威最危险之处在于借真名行假事。</x:v>
      </x:c>
      <x:c r="G53" t="str">
        <x:v>已核-短摘</x:v>
      </x:c>
      <x:c r="H53" t="str">
        <x:v>https://zh.wikisource.org/wiki/西遊記/第065回</x:v>
      </x:c>
      <x:c r="I53" t="str">
        <x:v>悟空直接识破冒牌佛祖</x:v>
      </x:c>
    </x:row>
    <x:row r="54">
      <x:c r="A54" t="str">
        <x:v>Q065-004</x:v>
      </x:c>
      <x:c r="B54" t="str">
        <x:v>第65回</x:v>
      </x:c>
      <x:c r="C54" t="str">
        <x:v>「合在金铙之内」</x:v>
      </x:c>
      <x:c r="D54" t="str">
        <x:v>法宝压制</x:v>
      </x:c>
      <x:c r="E54" t="str">
        <x:v>小雷音寺：假权威与成果质量风险</x:v>
      </x:c>
      <x:c r="F54" t="str">
        <x:v>关键法宝能压制核心能力，使救援链条延迟。</x:v>
      </x:c>
      <x:c r="G54" t="str">
        <x:v>已核-短摘</x:v>
      </x:c>
      <x:c r="H54" t="str">
        <x:v>https://zh.wikisource.org/wiki/西遊記/第065回</x:v>
      </x:c>
      <x:c r="I54" t="str">
        <x:v>金铙困住悟空</x:v>
      </x:c>
    </x:row>
    <x:row r="55">
      <x:c r="A55" t="str">
        <x:v>Q065-005</x:v>
      </x:c>
      <x:c r="B55" t="str">
        <x:v>第65回</x:v>
      </x:c>
      <x:c r="C55" t="str">
        <x:v>「一搭包儿通装将去」</x:v>
      </x:c>
      <x:c r="D55" t="str">
        <x:v>法宝升级</x:v>
      </x:c>
      <x:c r="E55" t="str">
        <x:v>小雷音寺：假权威与成果质量风险</x:v>
      </x:c>
      <x:c r="F55" t="str">
        <x:v>人种袋让传统救援力量集体失效。</x:v>
      </x:c>
      <x:c r="G55" t="str">
        <x:v>已核-短摘</x:v>
      </x:c>
      <x:c r="H55" t="str">
        <x:v>https://zh.wikisource.org/wiki/西遊記/第065回</x:v>
      </x:c>
      <x:c r="I55" t="str">
        <x:v>人种袋收走多方救援</x:v>
      </x:c>
    </x:row>
    <x:row r="56">
      <x:c r="A56" t="str">
        <x:v>Q066-006</x:v>
      </x:c>
      <x:c r="B56" t="str">
        <x:v>第66回</x:v>
      </x:c>
      <x:c r="C56" t="str">
        <x:v>「百计千方难救你」</x:v>
      </x:c>
      <x:c r="D56" t="str">
        <x:v>救援困局</x:v>
      </x:c>
      <x:c r="E56" t="str">
        <x:v>小雷音寺：假权威与成果质量风险</x:v>
      </x:c>
      <x:c r="F56" t="str">
        <x:v>小雷音寺之难体现多轮救援、重复失败、持续纠偏。</x:v>
      </x:c>
      <x:c r="G56" t="str">
        <x:v>已核-短摘</x:v>
      </x:c>
      <x:c r="H56" t="str">
        <x:v>https://zh.wikisource.org/wiki/西遊記/第066回</x:v>
      </x:c>
      <x:c r="I56" t="str">
        <x:v>悟空向多方求援仍受挫</x:v>
      </x:c>
    </x:row>
    <x:row r="57">
      <x:c r="A57" t="str">
        <x:v>Q066-007</x:v>
      </x:c>
      <x:c r="B57" t="str">
        <x:v>第66回</x:v>
      </x:c>
      <x:c r="C57" t="str">
        <x:v>「南无弥勒笑和尚」</x:v>
      </x:c>
      <x:c r="D57" t="str">
        <x:v>后台收束</x:v>
      </x:c>
      <x:c r="E57" t="str">
        <x:v>小雷音寺：假权威与成果质量风险</x:v>
      </x:c>
      <x:c r="F57" t="str">
        <x:v>假权威危机最终由真正权属方收束。</x:v>
      </x:c>
      <x:c r="G57" t="str">
        <x:v>已核-短摘</x:v>
      </x:c>
      <x:c r="H57" t="str">
        <x:v>https://zh.wikisource.org/wiki/西遊記/第066回</x:v>
      </x:c>
      <x:c r="I57" t="str">
        <x:v>弥勒出现并收伏黄眉</x:v>
      </x:c>
    </x:row>
    <x:row r="58">
      <x:c r="A58" t="str">
        <x:v>Q074-001</x:v>
      </x:c>
      <x:c r="B58" t="str">
        <x:v>第74回</x:v>
      </x:c>
      <x:c r="C58" t="str">
        <x:v>「有一伙妖魔，吃尽了阎浮世上人」</x:v>
      </x:c>
      <x:c r="D58" t="str">
        <x:v>最高预警</x:v>
      </x:c>
      <x:c r="E58" t="str">
        <x:v>狮驼岭：组织化妖怪与极端风险治理</x:v>
      </x:c>
      <x:c r="F58" t="str">
        <x:v>狮驼岭不是普通山妖，而是区域性极端风险。</x:v>
      </x:c>
      <x:c r="G58" t="str">
        <x:v>已核-短摘</x:v>
      </x:c>
      <x:c r="H58" t="str">
        <x:v>https://zh.wikisource.org/wiki/西遊記/第074回</x:v>
      </x:c>
      <x:c r="I58" t="str">
        <x:v>太白金星预警</x:v>
      </x:c>
    </x:row>
    <x:row r="59">
      <x:c r="A59" t="str">
        <x:v>Q075-002</x:v>
      </x:c>
      <x:c r="B59" t="str">
        <x:v>第75回</x:v>
      </x:c>
      <x:c r="C59" t="str">
        <x:v>「骷髅若岭，骸骨如林」</x:v>
      </x:c>
      <x:c r="D59" t="str">
        <x:v>极端场景</x:v>
      </x:c>
      <x:c r="E59" t="str">
        <x:v>狮驼岭：组织化妖怪与极端风险治理</x:v>
      </x:c>
      <x:c r="F59" t="str">
        <x:v>文本以高强度视觉描写呈现系统性暴力。</x:v>
      </x:c>
      <x:c r="G59" t="str">
        <x:v>已核-短摘</x:v>
      </x:c>
      <x:c r="H59" t="str">
        <x:v>https://zh.wikisource.org/wiki/西遊記/第075回</x:v>
      </x:c>
      <x:c r="I59" t="str">
        <x:v>悟空潜入洞府见尸山血海</x:v>
      </x:c>
    </x:row>
    <x:row r="60">
      <x:c r="A60" t="str">
        <x:v>Q075-003</x:v>
      </x:c>
      <x:c r="B60" t="str">
        <x:v>第75回</x:v>
      </x:c>
      <x:c r="C60" t="str">
        <x:v>「青毛狮子怪」</x:v>
      </x:c>
      <x:c r="D60" t="str">
        <x:v>后台对象</x:v>
      </x:c>
      <x:c r="E60" t="str">
        <x:v>狮驼岭：组织化妖怪与极端风险治理</x:v>
      </x:c>
      <x:c r="F60" t="str">
        <x:v>青狮是后台坐骑型妖怪的一环。</x:v>
      </x:c>
      <x:c r="G60" t="str">
        <x:v>已核-短摘</x:v>
      </x:c>
      <x:c r="H60" t="str">
        <x:v>https://zh.wikisource.org/wiki/西遊記/第075回</x:v>
      </x:c>
      <x:c r="I60" t="str">
        <x:v>三魔身份列明</x:v>
      </x:c>
    </x:row>
    <x:row r="61">
      <x:c r="A61" t="str">
        <x:v>Q075-004</x:v>
      </x:c>
      <x:c r="B61" t="str">
        <x:v>第75回</x:v>
      </x:c>
      <x:c r="C61" t="str">
        <x:v>「黄牙老象」</x:v>
      </x:c>
      <x:c r="D61" t="str">
        <x:v>后台对象</x:v>
      </x:c>
      <x:c r="E61" t="str">
        <x:v>狮驼岭：组织化妖怪与极端风险治理</x:v>
      </x:c>
      <x:c r="F61" t="str">
        <x:v>白象进一步构成坐骑后台联动。</x:v>
      </x:c>
      <x:c r="G61" t="str">
        <x:v>已核-短摘</x:v>
      </x:c>
      <x:c r="H61" t="str">
        <x:v>https://zh.wikisource.org/wiki/西遊記/第075回</x:v>
      </x:c>
      <x:c r="I61" t="str">
        <x:v>三魔身份列明</x:v>
      </x:c>
    </x:row>
    <x:row r="62">
      <x:c r="A62" t="str">
        <x:v>Q075-005</x:v>
      </x:c>
      <x:c r="B62" t="str">
        <x:v>第75回</x:v>
      </x:c>
      <x:c r="C62" t="str">
        <x:v>「云程九万的大鹏雕」</x:v>
      </x:c>
      <x:c r="D62" t="str">
        <x:v>高阶后台</x:v>
      </x:c>
      <x:c r="E62" t="str">
        <x:v>狮驼岭：组织化妖怪与极端风险治理</x:v>
      </x:c>
      <x:c r="F62" t="str">
        <x:v>大鹏的速度与身份使狮驼岭风险升至最高层。</x:v>
      </x:c>
      <x:c r="G62" t="str">
        <x:v>已核-短摘</x:v>
      </x:c>
      <x:c r="H62" t="str">
        <x:v>https://zh.wikisource.org/wiki/西遊記/第075回</x:v>
      </x:c>
      <x:c r="I62" t="str">
        <x:v>大鹏身份列明</x:v>
      </x:c>
    </x:row>
    <x:row r="63">
      <x:c r="A63" t="str">
        <x:v>Q076-006</x:v>
      </x:c>
      <x:c r="B63" t="str">
        <x:v>第76回</x:v>
      </x:c>
      <x:c r="C63" t="str">
        <x:v>「三万多精」</x:v>
      </x:c>
      <x:c r="D63" t="str">
        <x:v>组织规模</x:v>
      </x:c>
      <x:c r="E63" t="str">
        <x:v>狮驼岭：组织化妖怪与极端风险治理</x:v>
      </x:c>
      <x:c r="F63" t="str">
        <x:v>狮驼岭是集团化、军阵化、区域化妖怪组织。</x:v>
      </x:c>
      <x:c r="G63" t="str">
        <x:v>已核-短摘</x:v>
      </x:c>
      <x:c r="H63" t="str">
        <x:v>https://zh.wikisource.org/wiki/西遊記/第076回</x:v>
      </x:c>
      <x:c r="I63" t="str">
        <x:v>群妖列阵</x:v>
      </x:c>
    </x:row>
    <x:row r="64">
      <x:c r="A64" t="str">
        <x:v>Q077-007</x:v>
      </x:c>
      <x:c r="B64" t="str">
        <x:v>第77回</x:v>
      </x:c>
      <x:c r="C64" t="str">
        <x:v>「双拳难敌四手」</x:v>
      </x:c>
      <x:c r="D64" t="str">
        <x:v>能力边界</x:v>
      </x:c>
      <x:c r="E64" t="str">
        <x:v>狮驼岭：组织化妖怪与极端风险治理</x:v>
      </x:c>
      <x:c r="F64" t="str">
        <x:v>再强的个体能力也有组织化风险面前的边界。</x:v>
      </x:c>
      <x:c r="G64" t="str">
        <x:v>已核-短摘</x:v>
      </x:c>
      <x:c r="H64" t="str">
        <x:v>https://zh.wikisource.org/wiki/西遊記/第077回</x:v>
      </x:c>
      <x:c r="I64" t="str">
        <x:v>悟空独力难撑</x:v>
      </x:c>
    </x:row>
    <x:row r="65">
      <x:c r="A65" t="str">
        <x:v>Q077-008</x:v>
      </x:c>
      <x:c r="B65" t="str">
        <x:v>第77回</x:v>
      </x:c>
      <x:c r="C65" t="str">
        <x:v>「一翅就有九万里」</x:v>
      </x:c>
      <x:c r="D65" t="str">
        <x:v>极限压制</x:v>
      </x:c>
      <x:c r="E65" t="str">
        <x:v>狮驼岭：组织化妖怪与极端风险治理</x:v>
      </x:c>
      <x:c r="F65" t="str">
        <x:v>大鹏几乎抵消筋斗云优势，形成极端能力压制。</x:v>
      </x:c>
      <x:c r="G65" t="str">
        <x:v>已核-短摘</x:v>
      </x:c>
      <x:c r="H65" t="str">
        <x:v>https://zh.wikisource.org/wiki/西遊記/第077回</x:v>
      </x:c>
      <x:c r="I65" t="str">
        <x:v>大鹏速度压制悟空</x:v>
      </x:c>
    </x:row>
    <x:row r="66">
      <x:c r="A66" s="27" t="str">
        <x:v>V26-001</x:v>
      </x:c>
      <x:c r="B66" s="27" t="str">
        <x:v>第27回</x:v>
      </x:c>
      <x:c r="C66" s="27" t="str">
        <x:v>「屍魔三戲；恨逐美猴王」</x:v>
      </x:c>
      <x:c r="D66" s="27" t="str">
        <x:v>V2.6短摘/定位</x:v>
      </x:c>
      <x:c r="E66" s="27" t="str">
        <x:v>第20难：貶退心猿</x:v>
      </x:c>
      <x:c r="F66" s="27" t="str">
        <x:v>专业判断不能只输给表象与善念。</x:v>
      </x:c>
      <x:c r="G66" s="27" t="str">
        <x:v>已补证</x:v>
      </x:c>
      <x:c r="H66" s="27" t="str">
        <x:v>https://zh.wikisource.org/wiki/西遊記/第027回</x:v>
      </x:c>
      <x:c r="I66" s="27" t="str">
        <x:v>全回标题即揭示“妖魔三戏—师徒误判—逐出核心能力”的结构。</x:v>
      </x:c>
    </x:row>
    <x:row r="67">
      <x:c r="A67" s="27" t="str">
        <x:v>V26-002</x:v>
      </x:c>
      <x:c r="B67" s="27" t="str">
        <x:v>第27回</x:v>
      </x:c>
      <x:c r="C67" s="27" t="str">
        <x:v>「變做個月貌花容的女兒」</x:v>
      </x:c>
      <x:c r="D67" s="27" t="str">
        <x:v>V2.6短摘/定位</x:v>
      </x:c>
      <x:c r="E67" s="27" t="str">
        <x:v>第20难：貶退心猿</x:v>
      </x:c>
      <x:c r="F67" s="27" t="str">
        <x:v>最危险的风险常以善意、礼貌、供养形态出现。</x:v>
      </x:c>
      <x:c r="G67" s="27" t="str">
        <x:v>已补证</x:v>
      </x:c>
      <x:c r="H67" s="27" t="str">
        <x:v>https://zh.wikisource.org/wiki/西遊記/第027回</x:v>
      </x:c>
      <x:c r="I67" s="27" t="str">
        <x:v>白骨精先以“柔性善意”出现，使唐僧与八戒更容易误判。</x:v>
      </x:c>
    </x:row>
    <x:row r="68">
      <x:c r="A68" s="27" t="str">
        <x:v>V26-003</x:v>
      </x:c>
      <x:c r="B68" s="27" t="str">
        <x:v>第27回</x:v>
      </x:c>
      <x:c r="C68" s="27" t="str">
        <x:v>「認得那女子是個妖精」</x:v>
      </x:c>
      <x:c r="D68" s="27" t="str">
        <x:v>V2.6短摘/定位</x:v>
      </x:c>
      <x:c r="E68" s="27" t="str">
        <x:v>第20难：貶退心猿</x:v>
      </x:c>
      <x:c r="F68" s="27" t="str">
        <x:v>专业正确还要被组织理解，否则会转化为冲突。</x:v>
      </x:c>
      <x:c r="G68" s="27" t="str">
        <x:v>已补证</x:v>
      </x:c>
      <x:c r="H68" s="27" t="str">
        <x:v>https://zh.wikisource.org/wiki/西遊記/第027回</x:v>
      </x:c>
      <x:c r="I68" s="27" t="str">
        <x:v>悟空判断建立在经验与能力上，但缺少被领导者信任的沟通环境。</x:v>
      </x:c>
    </x:row>
    <x:row r="69">
      <x:c r="A69" s="27" t="str">
        <x:v>V26-004</x:v>
      </x:c>
      <x:c r="B69" s="27" t="str">
        <x:v>第27回</x:v>
      </x:c>
      <x:c r="C69" s="27" t="str">
        <x:v>「八戒在傍漏八分兒唆嘴」</x:v>
      </x:c>
      <x:c r="D69" s="27" t="str">
        <x:v>V2.6短摘/定位</x:v>
      </x:c>
      <x:c r="E69" s="27" t="str">
        <x:v>第20难：貶退心猿</x:v>
      </x:c>
      <x:c r="F69" s="27" t="str">
        <x:v>组织误判常由非决策者的情绪化暗示放大。</x:v>
      </x:c>
      <x:c r="G69" s="27" t="str">
        <x:v>已补证</x:v>
      </x:c>
      <x:c r="H69" s="27" t="str">
        <x:v>https://zh.wikisource.org/wiki/西遊記/第027回</x:v>
      </x:c>
      <x:c r="I69" s="27" t="str">
        <x:v>八戒不是主犯，却通过“旁边话”改变唐僧判断，是典型内部噪声。</x:v>
      </x:c>
    </x:row>
    <x:row r="70">
      <x:c r="A70" s="27" t="str">
        <x:v>V26-005</x:v>
      </x:c>
      <x:c r="B70" s="27" t="str">
        <x:v>第27回</x:v>
      </x:c>
      <x:c r="C70" s="27" t="str">
        <x:v>「手中捻訣，口裡念咒」</x:v>
      </x:c>
      <x:c r="D70" s="27" t="str">
        <x:v>V2.6短摘/定位</x:v>
      </x:c>
      <x:c r="E70" s="27" t="str">
        <x:v>第20难：貶退心猿</x:v>
      </x:c>
      <x:c r="F70" s="27" t="str">
        <x:v>约束机制若脱离事实校核，会伤害核心能力。</x:v>
      </x:c>
      <x:c r="G70" s="27" t="str">
        <x:v>已补证</x:v>
      </x:c>
      <x:c r="H70" s="27" t="str">
        <x:v>https://zh.wikisource.org/wiki/西遊記/第027回</x:v>
      </x:c>
      <x:c r="I70" s="27" t="str">
        <x:v>紧箍咒在此不是单纯纪律，而成为误判条件下对专业能力的惩罚。</x:v>
      </x:c>
    </x:row>
    <x:row r="71">
      <x:c r="A71" s="27" t="str">
        <x:v>V26-006</x:v>
      </x:c>
      <x:c r="B71" s="27" t="str">
        <x:v>第27回</x:v>
      </x:c>
      <x:c r="C71" s="27" t="str">
        <x:v>「我不要你做徒弟」</x:v>
      </x:c>
      <x:c r="D71" s="27" t="str">
        <x:v>V2.6短摘/定位</x:v>
      </x:c>
      <x:c r="E71" s="27" t="str">
        <x:v>第20难：貶退心猿</x:v>
      </x:c>
      <x:c r="F71" s="27" t="str">
        <x:v>开除关键人才之前，必须先复核事实与替代能力。</x:v>
      </x:c>
      <x:c r="G71" s="27" t="str">
        <x:v>已补证</x:v>
      </x:c>
      <x:c r="H71" s="27" t="str">
        <x:v>https://zh.wikisource.org/wiki/西遊記/第027回</x:v>
      </x:c>
      <x:c r="I71" s="27" t="str">
        <x:v>唐僧正式解除悟空团队身份，后续风险将证明关键能力离队的代价。</x:v>
      </x:c>
    </x:row>
    <x:row r="72">
      <x:c r="A72" s="27" t="str">
        <x:v>V26-007</x:v>
      </x:c>
      <x:c r="B72" s="27" t="str">
        <x:v>第56回</x:v>
      </x:c>
      <x:c r="C72" s="27" t="str">
        <x:v>「神狂誅草寇；道昧放心猿」</x:v>
      </x:c>
      <x:c r="D72" s="27" t="str">
        <x:v>V2.6短摘/定位</x:v>
      </x:c>
      <x:c r="E72" s="27" t="str">
        <x:v>第45难：再貶心猿</x:v>
      </x:c>
      <x:c r="F72" s="27" t="str">
        <x:v>执行强度越大，越需要价值边界与反馈机制。</x:v>
      </x:c>
      <x:c r="G72" s="27" t="str">
        <x:v>已补证</x:v>
      </x:c>
      <x:c r="H72" s="27" t="str">
        <x:v>https://zh.wikisource.org/wiki/西遊記/第056回</x:v>
      </x:c>
      <x:c r="I72" s="27" t="str">
        <x:v>“放心猿”点出问题已从外部妖魔转向内部心性、尺度与关系裂缝。</x:v>
      </x:c>
    </x:row>
    <x:row r="73">
      <x:c r="A73" s="27" t="str">
        <x:v>V26-008</x:v>
      </x:c>
      <x:c r="B73" s="27" t="str">
        <x:v>第56回</x:v>
      </x:c>
      <x:c r="C73" s="27" t="str">
        <x:v>「誅草寇」</x:v>
      </x:c>
      <x:c r="D73" s="27" t="str">
        <x:v>V2.6短摘/定位</x:v>
      </x:c>
      <x:c r="E73" s="27" t="str">
        <x:v>第45难：再貶心猿</x:v>
      </x:c>
      <x:c r="F73" s="27" t="str">
        <x:v>同样是“除害”，不同对象需要不同处置尺度。</x:v>
      </x:c>
      <x:c r="G73" s="27" t="str">
        <x:v>已补证</x:v>
      </x:c>
      <x:c r="H73" s="27" t="str">
        <x:v>https://zh.wikisource.org/wiki/西遊記/第056回</x:v>
      </x:c>
      <x:c r="I73" s="27" t="str">
        <x:v>草寇非典型妖怪，悟空处置方式引发唐僧价值冲突。</x:v>
      </x:c>
    </x:row>
    <x:row r="74">
      <x:c r="A74" s="27" t="str">
        <x:v>V26-009</x:v>
      </x:c>
      <x:c r="B74" s="27" t="str">
        <x:v>第56回</x:v>
      </x:c>
      <x:c r="C74" s="27" t="str">
        <x:v>「放心猿」</x:v>
      </x:c>
      <x:c r="D74" s="27" t="str">
        <x:v>V2.6短摘/定位</x:v>
      </x:c>
      <x:c r="E74" s="27" t="str">
        <x:v>第45难：再貶心猿</x:v>
      </x:c>
      <x:c r="F74" s="27" t="str">
        <x:v>关系崩裂不是一时冲突，而是长期信任缺口的爆发。</x:v>
      </x:c>
      <x:c r="G74" s="27" t="str">
        <x:v>已补证</x:v>
      </x:c>
      <x:c r="H74" s="27" t="str">
        <x:v>https://zh.wikisource.org/wiki/西遊記/第056回</x:v>
      </x:c>
      <x:c r="I74" s="27" t="str">
        <x:v>回目把“心猿”与“放”相连，说明团队约束和内在自律同时失效。</x:v>
      </x:c>
    </x:row>
    <x:row r="75">
      <x:c r="A75" s="27" t="str">
        <x:v>V26-010</x:v>
      </x:c>
      <x:c r="B75" s="27" t="str">
        <x:v>第57回</x:v>
      </x:c>
      <x:c r="C75" s="27" t="str">
        <x:v>「真行者；假猴王」</x:v>
      </x:c>
      <x:c r="D75" s="27" t="str">
        <x:v>V2.6短摘/定位</x:v>
      </x:c>
      <x:c r="E75" s="27" t="str">
        <x:v>第46难：難辨獼猴</x:v>
      </x:c>
      <x:c r="F75" s="27" t="str">
        <x:v>越是关键岗位，越要有身份、权限、证据链校核。</x:v>
      </x:c>
      <x:c r="G75" s="27" t="str">
        <x:v>已补证</x:v>
      </x:c>
      <x:c r="H75" s="27" t="str">
        <x:v>https://zh.wikisource.org/wiki/西遊記/第057回</x:v>
      </x:c>
      <x:c r="I75" s="27" t="str">
        <x:v>标题直接构成身份复制与组织认证问题：真者申诉，假者占位。</x:v>
      </x:c>
    </x:row>
    <x:row r="76">
      <x:c r="A76" s="27" t="str">
        <x:v>V26-011</x:v>
      </x:c>
      <x:c r="B76" s="27" t="str">
        <x:v>第58回</x:v>
      </x:c>
      <x:c r="C76" s="27" t="str">
        <x:v>「二心搅乱；一体难修」</x:v>
      </x:c>
      <x:c r="D76" s="27" t="str">
        <x:v>V2.6短摘/定位</x:v>
      </x:c>
      <x:c r="E76" s="27" t="str">
        <x:v>第46难：難辨獼猴</x:v>
      </x:c>
      <x:c r="F76" s="27" t="str">
        <x:v>最难战胜的不是外敌，而是另一个失控的自己。</x:v>
      </x:c>
      <x:c r="G76" s="27" t="str">
        <x:v>已补证</x:v>
      </x:c>
      <x:c r="H76" s="27" t="str">
        <x:v>https://zh.wikisource.org/wiki/西遊記/第058回</x:v>
      </x:c>
      <x:c r="I76" s="27" t="str">
        <x:v>真假美猴王不只是外部冒充，更是“二心”不能统一的寓言。</x:v>
      </x:c>
    </x:row>
    <x:row r="77">
      <x:c r="A77" s="27" t="str">
        <x:v>V26-012</x:v>
      </x:c>
      <x:c r="B77" s="27" t="str">
        <x:v>第58回</x:v>
      </x:c>
      <x:c r="C77" s="27" t="str">
        <x:v>「一体难修真寂灭」</x:v>
      </x:c>
      <x:c r="D77" s="27" t="str">
        <x:v>V2.6短摘/定位</x:v>
      </x:c>
      <x:c r="E77" s="27" t="str">
        <x:v>第46难：難辨獼猴</x:v>
      </x:c>
      <x:c r="F77" s="27" t="str">
        <x:v>当同级机制无法辨真伪，要进入更高层级终裁。</x:v>
      </x:c>
      <x:c r="G77" s="27" t="str">
        <x:v>已补证</x:v>
      </x:c>
      <x:c r="H77" s="27" t="str">
        <x:v>https://zh.wikisource.org/wiki/西遊記/第058回</x:v>
      </x:c>
      <x:c r="I77" s="27" t="str">
        <x:v>真假争端经多方辨识仍难定，最终需要最高系统裁决。</x:v>
      </x:c>
    </x:row>
    <x:row r="78">
      <x:c r="A78" s="27" t="str">
        <x:v>V26-013</x:v>
      </x:c>
      <x:c r="B78" s="27" t="str">
        <x:v>第65回</x:v>
      </x:c>
      <x:c r="C78" s="27" t="str">
        <x:v>「妖邪假設小雷音」</x:v>
      </x:c>
      <x:c r="D78" s="27" t="str">
        <x:v>V2.6短摘/定位</x:v>
      </x:c>
      <x:c r="E78" s="27" t="str">
        <x:v>第53难：小雷音遇難</x:v>
      </x:c>
      <x:c r="F78" s="27" t="str">
        <x:v>假权威最危险处在于它披着正确形式。</x:v>
      </x:c>
      <x:c r="G78" s="27" t="str">
        <x:v>已补证</x:v>
      </x:c>
      <x:c r="H78" s="27" t="str">
        <x:v>https://zh.wikisource.org/wiki/西遊記/第065回</x:v>
      </x:c>
      <x:c r="I78" s="27" t="str">
        <x:v>“假设”二字是核心：妖怪借佛门名号建立假权威场景。</x:v>
      </x:c>
    </x:row>
    <x:row r="79">
      <x:c r="A79" s="27" t="str">
        <x:v>V26-014</x:v>
      </x:c>
      <x:c r="B79" s="27" t="str">
        <x:v>第65回</x:v>
      </x:c>
      <x:c r="C79" s="27" t="str">
        <x:v>「決不可擅入，恐遭毒手」</x:v>
      </x:c>
      <x:c r="D79" s="27" t="str">
        <x:v>V2.6短摘/定位</x:v>
      </x:c>
      <x:c r="E79" s="27" t="str">
        <x:v>第53难：小雷音遇難</x:v>
      </x:c>
      <x:c r="F79" s="27" t="str">
        <x:v>预警机制必须能压过形式主义冲动。</x:v>
      </x:c>
      <x:c r="G79" s="27" t="str">
        <x:v>已补证</x:v>
      </x:c>
      <x:c r="H79" s="27" t="str">
        <x:v>https://zh.wikisource.org/wiki/西遊記/第065回</x:v>
      </x:c>
      <x:c r="I79" s="27" t="str">
        <x:v>悟空明确预警，但唐僧因“雷音”名号和拜佛执念选择进入。</x:v>
      </x:c>
    </x:row>
    <x:row r="80">
      <x:c r="A80" s="27" t="str">
        <x:v>V26-015</x:v>
      </x:c>
      <x:c r="B80" s="27" t="str">
        <x:v>第65回</x:v>
      </x:c>
      <x:c r="C80" s="27" t="str">
        <x:v>「四眾皆遭大厄難」</x:v>
      </x:c>
      <x:c r="D80" s="27" t="str">
        <x:v>V2.6短摘/定位</x:v>
      </x:c>
      <x:c r="E80" s="27" t="str">
        <x:v>第53难：小雷音遇難</x:v>
      </x:c>
      <x:c r="F80" s="27" t="str">
        <x:v>假权威不是单点风险，而是可使团队整体失能。</x:v>
      </x:c>
      <x:c r="G80" s="27" t="str">
        <x:v>已补证</x:v>
      </x:c>
      <x:c r="H80" s="27" t="str">
        <x:v>https://zh.wikisource.org/wiki/西遊記/第065回</x:v>
      </x:c>
      <x:c r="I80" s="27" t="str">
        <x:v>一处假权威导致全团队陷入系统性风险。</x:v>
      </x:c>
    </x:row>
    <x:row r="81">
      <x:c r="A81" s="27" t="str">
        <x:v>V26-016</x:v>
      </x:c>
      <x:c r="B81" s="27" t="str">
        <x:v>第65回</x:v>
      </x:c>
      <x:c r="C81" s="27" t="str">
        <x:v>「合在金鐃之內」</x:v>
      </x:c>
      <x:c r="D81" s="27" t="str">
        <x:v>V2.6短摘/定位</x:v>
      </x:c>
      <x:c r="E81" s="27" t="str">
        <x:v>第53难：小雷音遇難</x:v>
      </x:c>
      <x:c r="F81" s="27" t="str">
        <x:v>工具型权力可能瞬间改变能力对比。</x:v>
      </x:c>
      <x:c r="G81" s="27" t="str">
        <x:v>已补证</x:v>
      </x:c>
      <x:c r="H81" s="27" t="str">
        <x:v>https://zh.wikisource.org/wiki/西遊記/第065回</x:v>
      </x:c>
      <x:c r="I81" s="27" t="str">
        <x:v>金铙将悟空封闭，说明法宝能把最高执行能力降维压制。</x:v>
      </x:c>
    </x:row>
    <x:row r="82">
      <x:c r="A82" s="27" t="str">
        <x:v>V26-017</x:v>
      </x:c>
      <x:c r="B82" s="27" t="str">
        <x:v>第66回</x:v>
      </x:c>
      <x:c r="C82" s="27" t="str">
        <x:v>「諸神遭毒手」</x:v>
      </x:c>
      <x:c r="D82" s="27" t="str">
        <x:v>V2.6短摘/定位</x:v>
      </x:c>
      <x:c r="E82" s="27" t="str">
        <x:v>第54难：諸天神遭困</x:v>
      </x:c>
      <x:c r="F82" s="27" t="str">
        <x:v>当救援者也被困，说明已经不是普通战术问题。</x:v>
      </x:c>
      <x:c r="G82" s="27" t="str">
        <x:v>已补证</x:v>
      </x:c>
      <x:c r="H82" s="27" t="str">
        <x:v>https://zh.wikisource.org/wiki/西遊記/第066回</x:v>
      </x:c>
      <x:c r="I82" s="27" t="str">
        <x:v>救援系统自身也被困，标志风险等级升级。</x:v>
      </x:c>
    </x:row>
    <x:row r="83">
      <x:c r="A83" s="27" t="str">
        <x:v>V26-018</x:v>
      </x:c>
      <x:c r="B83" s="27" t="str">
        <x:v>第66回</x:v>
      </x:c>
      <x:c r="C83" s="27" t="str">
        <x:v>「彌勒縛妖魔」</x:v>
      </x:c>
      <x:c r="D83" s="27" t="str">
        <x:v>V2.6短摘/定位</x:v>
      </x:c>
      <x:c r="E83" s="27" t="str">
        <x:v>第54难：諸天神遭困</x:v>
      </x:c>
      <x:c r="F83" s="27" t="str">
        <x:v>后台妖怪的处置不能只靠前线战斗，还要追溯归属。</x:v>
      </x:c>
      <x:c r="G83" s="27" t="str">
        <x:v>已补证</x:v>
      </x:c>
      <x:c r="H83" s="27" t="str">
        <x:v>https://zh.wikisource.org/wiki/西遊記/第066回</x:v>
      </x:c>
      <x:c r="I83" s="27" t="str">
        <x:v>最终由弥勒收束，揭示后台与权责边界。</x:v>
      </x:c>
    </x:row>
    <x:row r="84">
      <x:c r="A84" s="27" t="str">
        <x:v>V26-019</x:v>
      </x:c>
      <x:c r="B84" s="27" t="str">
        <x:v>第74回</x:v>
      </x:c>
      <x:c r="C84" s="27" t="str">
        <x:v>「長庚傳報魔頭狠」</x:v>
      </x:c>
      <x:c r="D84" s="27" t="str">
        <x:v>V2.6短摘/定位</x:v>
      </x:c>
      <x:c r="E84" s="27" t="str">
        <x:v>第61难：路阻獅駝</x:v>
      </x:c>
      <x:c r="F84" s="27" t="str">
        <x:v>极端风险出现前往往已有预警，关键在于是否充分响应。</x:v>
      </x:c>
      <x:c r="G84" s="27" t="str">
        <x:v>已补证</x:v>
      </x:c>
      <x:c r="H84" s="27" t="str">
        <x:v>https://zh.wikisource.org/wiki/西遊記/第074回</x:v>
      </x:c>
      <x:c r="I84" s="27" t="str">
        <x:v>太白金星提前传报，说明狮驼岭是被高层感知的极端风险。</x:v>
      </x:c>
    </x:row>
    <x:row r="85">
      <x:c r="A85" s="27" t="str">
        <x:v>V26-020</x:v>
      </x:c>
      <x:c r="B85" s="27" t="str">
        <x:v>第74回</x:v>
      </x:c>
      <x:c r="C85" s="27" t="str">
        <x:v>「行者施為變化能」</x:v>
      </x:c>
      <x:c r="D85" s="27" t="str">
        <x:v>V2.6短摘/定位</x:v>
      </x:c>
      <x:c r="E85" s="27" t="str">
        <x:v>第61难：路阻獅駝</x:v>
      </x:c>
      <x:c r="F85" s="27" t="str">
        <x:v>面对组织化风险，侦察比硬攻更优先。</x:v>
      </x:c>
      <x:c r="G85" s="27" t="str">
        <x:v>已补证</x:v>
      </x:c>
      <x:c r="H85" s="27" t="str">
        <x:v>https://zh.wikisource.org/wiki/西遊記/第074回</x:v>
      </x:c>
      <x:c r="I85" s="27" t="str">
        <x:v>悟空以变化能力先行侦察，体现“先摸底、后处置”。</x:v>
      </x:c>
    </x:row>
    <x:row r="86">
      <x:c r="A86" s="27" t="str">
        <x:v>V26-021</x:v>
      </x:c>
      <x:c r="B86" s="27" t="str">
        <x:v>第75回</x:v>
      </x:c>
      <x:c r="C86" s="27" t="str">
        <x:v>「三色魔王/三魔体系」</x:v>
      </x:c>
      <x:c r="D86" s="27" t="str">
        <x:v>V2.6短摘/定位</x:v>
      </x:c>
      <x:c r="E86" s="27" t="str">
        <x:v>第62难：怪分三色</x:v>
      </x:c>
      <x:c r="F86" s="27" t="str">
        <x:v>风险集团化后，单一能力不再足够。</x:v>
      </x:c>
      <x:c r="G86" s="27" t="str">
        <x:v>待复核短摘</x:v>
      </x:c>
      <x:c r="H86" s="27" t="str">
        <x:v>https://zh.wikisource.org/wiki/西遊記/第075回</x:v>
      </x:c>
      <x:c r="I86" s="27" t="str">
        <x:v>青狮、白象、大鹏各有后台和能力，构成复合型妖怪集团。</x:v>
      </x:c>
    </x:row>
    <x:row r="87">
      <x:c r="A87" s="27" t="str">
        <x:v>V26-022</x:v>
      </x:c>
      <x:c r="B87" s="27" t="str">
        <x:v>第75回</x:v>
      </x:c>
      <x:c r="C87" s="27" t="str">
        <x:v>「心猿鑽透陰陽竅」</x:v>
      </x:c>
      <x:c r="D87" s="27" t="str">
        <x:v>V2.6短摘/定位</x:v>
      </x:c>
      <x:c r="E87" s="27" t="str">
        <x:v>第62难：怪分三色</x:v>
      </x:c>
      <x:c r="F87" s="27" t="str">
        <x:v>有些系统性风险只能从内部结构突破。</x:v>
      </x:c>
      <x:c r="G87" s="27" t="str">
        <x:v>待复核短摘</x:v>
      </x:c>
      <x:c r="H87" s="27" t="str">
        <x:v>https://zh.wikisource.org/wiki/西遊記/第075回</x:v>
      </x:c>
      <x:c r="I87" s="27" t="str">
        <x:v>悟空被吞后反从内部破局，是“进入系统内部找弱点”的典型段落。</x:v>
      </x:c>
    </x:row>
    <x:row r="88">
      <x:c r="A88" s="27" t="str">
        <x:v>V26-023</x:v>
      </x:c>
      <x:c r="B88" s="27" t="str">
        <x:v>第76回</x:v>
      </x:c>
      <x:c r="C88" s="27" t="str">
        <x:v>「獅駝國/城裡遇災」</x:v>
      </x:c>
      <x:c r="D88" s="27" t="str">
        <x:v>V2.6短摘/定位</x:v>
      </x:c>
      <x:c r="E88" s="27" t="str">
        <x:v>第63难：城裡遇災</x:v>
      </x:c>
      <x:c r="F88" s="27" t="str">
        <x:v>当风险成为地方秩序，治理难度远超单点降妖。</x:v>
      </x:c>
      <x:c r="G88" s="27" t="str">
        <x:v>待复核短摘</x:v>
      </x:c>
      <x:c r="H88" s="27" t="str">
        <x:v>https://zh.wikisource.org/wiki/西遊記/第076回</x:v>
      </x:c>
      <x:c r="I88" s="27" t="str">
        <x:v>狮驼国不是单个山洞，而是妖怪成为区域秩序。</x:v>
      </x:c>
    </x:row>
    <x:row r="89">
      <x:c r="A89" s="27" t="str">
        <x:v>V26-024</x:v>
      </x:c>
      <x:c r="B89" s="27" t="str">
        <x:v>第77回</x:v>
      </x:c>
      <x:c r="C89" s="27" t="str">
        <x:v>「群魔欺本性；一體拜真如」</x:v>
      </x:c>
      <x:c r="D89" s="27" t="str">
        <x:v>V2.6短摘/定位</x:v>
      </x:c>
      <x:c r="E89" s="27" t="str">
        <x:v>第64难：請佛收魔</x:v>
      </x:c>
      <x:c r="F89" s="27" t="str">
        <x:v>最高风险需要最高层级担责与收束。</x:v>
      </x:c>
      <x:c r="G89" s="27" t="str">
        <x:v>已补证</x:v>
      </x:c>
      <x:c r="H89" s="27" t="str">
        <x:v>https://zh.wikisource.org/wiki/西遊記/第077回</x:v>
      </x:c>
      <x:c r="I89" s="27" t="str">
        <x:v>“一体拜真如”说明狮驼岭必须由如来系统作最高收束。</x:v>
      </x:c>
    </x:row>
    <x:row r="90">
      <x:c r="A90" s="27" t="str">
        <x:v>V26-025</x:v>
      </x:c>
      <x:c r="B90" s="27" t="str">
        <x:v>第77回</x:v>
      </x:c>
      <x:c r="C90" s="27" t="str">
        <x:v>「文殊、普贤、如来系统」</x:v>
      </x:c>
      <x:c r="D90" s="27" t="str">
        <x:v>V2.6短摘/定位</x:v>
      </x:c>
      <x:c r="E90" s="27" t="str">
        <x:v>第64难：請佛收魔</x:v>
      </x:c>
      <x:c r="F90" s="27" t="str">
        <x:v>后台不是免罪符，而是责任链索引。</x:v>
      </x:c>
      <x:c r="G90" s="27" t="str">
        <x:v>已补证</x:v>
      </x:c>
      <x:c r="H90" s="27" t="str">
        <x:v>https://zh.wikisource.org/wiki/西遊記/第077回</x:v>
      </x:c>
      <x:c r="I90" s="27" t="str">
        <x:v>青狮、白象、大鹏分别牵出文殊、普贤、如来系统。</x:v>
      </x:c>
    </x:row>
    <x:row r="91">
      <x:c r="A91" s="27" t="str">
        <x:v>V26-026</x:v>
      </x:c>
      <x:c r="B91" s="27" t="str">
        <x:v>第96回</x:v>
      </x:c>
      <x:c r="C91" s="27" t="str">
        <x:v>「寇員外喜待高僧」</x:v>
      </x:c>
      <x:c r="D91" s="27" t="str">
        <x:v>V2.6短摘/定位</x:v>
      </x:c>
      <x:c r="E91" s="27" t="str">
        <x:v>第79难：銅臺府監禁</x:v>
      </x:c>
      <x:c r="F91" s="27" t="str">
        <x:v>好意也可能形成拖延，关键在使命边界。</x:v>
      </x:c>
      <x:c r="G91" s="27" t="str">
        <x:v>已补证</x:v>
      </x:c>
      <x:c r="H91" s="27" t="str">
        <x:v>https://zh.wikisource.org/wiki/西遊記/第096回</x:v>
      </x:c>
      <x:c r="I91" s="27" t="str">
        <x:v>接近灵山前不再是妖魔阻路，而是善缘、布施、人情与滞留风险。</x:v>
      </x:c>
    </x:row>
    <x:row r="92">
      <x:c r="A92" s="27" t="str">
        <x:v>V26-027</x:v>
      </x:c>
      <x:c r="B92" s="27" t="str">
        <x:v>第96回</x:v>
      </x:c>
      <x:c r="C92" s="27" t="str">
        <x:v>「唐長老不貪富貴」</x:v>
      </x:c>
      <x:c r="D92" s="27" t="str">
        <x:v>V2.6短摘/定位</x:v>
      </x:c>
      <x:c r="E92" s="27" t="str">
        <x:v>第79难：銅臺府監禁</x:v>
      </x:c>
      <x:c r="F92" s="27" t="str">
        <x:v>越接近成功，越要防止被舒适区拦住。</x:v>
      </x:c>
      <x:c r="G92" s="27" t="str">
        <x:v>已补证</x:v>
      </x:c>
      <x:c r="H92" s="27" t="str">
        <x:v>https://zh.wikisource.org/wiki/西遊記/第096回</x:v>
      </x:c>
      <x:c r="I92" s="27" t="str">
        <x:v>收官阶段的考验是能否不被善待与富贵留住。</x:v>
      </x:c>
    </x:row>
    <x:row r="93">
      <x:c r="A93" s="27" t="str">
        <x:v>V26-028</x:v>
      </x:c>
      <x:c r="B93" s="27" t="str">
        <x:v>第97回</x:v>
      </x:c>
      <x:c r="C93" s="27" t="str">
        <x:v>「外護遭魔蟄」</x:v>
      </x:c>
      <x:c r="D93" s="27" t="str">
        <x:v>V2.6短摘/定位</x:v>
      </x:c>
      <x:c r="E93" s="27" t="str">
        <x:v>第79难：銅臺府監禁</x:v>
      </x:c>
      <x:c r="F93" s="27" t="str">
        <x:v>项目成果之外，还要保护支持者与外围生态。</x:v>
      </x:c>
      <x:c r="G93" s="27" t="str">
        <x:v>已补证</x:v>
      </x:c>
      <x:c r="H93" s="27" t="str">
        <x:v>https://zh.wikisource.org/wiki/西遊記/第097回</x:v>
      </x:c>
      <x:c r="I93" s="27" t="str">
        <x:v>保护取经的外部善人也会卷入因果与冤案。</x:v>
      </x:c>
    </x:row>
    <x:row r="94">
      <x:c r="A94" s="27" t="str">
        <x:v>V26-029</x:v>
      </x:c>
      <x:c r="B94" s="27" t="str">
        <x:v>第98回</x:v>
      </x:c>
      <x:c r="C94" s="27" t="str">
        <x:v>「方脫殼；見真如」</x:v>
      </x:c>
      <x:c r="D94" s="27" t="str">
        <x:v>V2.6短摘/定位</x:v>
      </x:c>
      <x:c r="E94" s="27" t="str">
        <x:v>第80难：凌雲渡脫胎</x:v>
      </x:c>
      <x:c r="F94" s="27" t="str">
        <x:v>真正的完成不是到达，而是自身发生转化。</x:v>
      </x:c>
      <x:c r="G94" s="27" t="str">
        <x:v>已补证</x:v>
      </x:c>
      <x:c r="H94" s="27" t="str">
        <x:v>https://zh.wikisource.org/wiki/西遊記/第098回</x:v>
      </x:c>
      <x:c r="I94" s="27" t="str">
        <x:v>凌云渡不是地理过渡，而是身心层面的脱胎。</x:v>
      </x:c>
    </x:row>
    <x:row r="95">
      <x:c r="A95" s="27" t="str">
        <x:v>V26-030</x:v>
      </x:c>
      <x:c r="B95" s="27" t="str">
        <x:v>第98回</x:v>
      </x:c>
      <x:c r="C95" s="27" t="str">
        <x:v>「功成行滿」</x:v>
      </x:c>
      <x:c r="D95" s="27" t="str">
        <x:v>V2.6短摘/定位</x:v>
      </x:c>
      <x:c r="E95" s="27" t="str">
        <x:v>第80难：凌雲渡脫胎</x:v>
      </x:c>
      <x:c r="F95" s="27" t="str">
        <x:v>成果交付前仍需质量、完整性和资格确认。</x:v>
      </x:c>
      <x:c r="G95" s="27" t="str">
        <x:v>已补证</x:v>
      </x:c>
      <x:c r="H95" s="27" t="str">
        <x:v>https://zh.wikisource.org/wiki/西遊記/第098回</x:v>
      </x:c>
      <x:c r="I95" s="27" t="str">
        <x:v>取经工程在此进入成果交付阶段，但仍有质量与难数校核。</x:v>
      </x:c>
    </x:row>
    <x:row r="96">
      <x:c r="A96" s="27" t="str">
        <x:v>V26-031</x:v>
      </x:c>
      <x:c r="B96" s="27" t="str">
        <x:v>第99回</x:v>
      </x:c>
      <x:c r="C96" s="27" t="str">
        <x:v>「還少一難」</x:v>
      </x:c>
      <x:c r="D96" s="27" t="str">
        <x:v>V2.6短摘/定位</x:v>
      </x:c>
      <x:c r="E96" s="27" t="str">
        <x:v>第81难：老黿濕經</x:v>
      </x:c>
      <x:c r="F96" s="27" t="str">
        <x:v>成功前的最后一步，往往是完整性校核。</x:v>
      </x:c>
      <x:c r="G96" s="27" t="str">
        <x:v>已补证</x:v>
      </x:c>
      <x:c r="H96" s="27" t="str">
        <x:v>https://zh.wikisource.org/wiki/西遊記/第099回</x:v>
      </x:c>
      <x:c r="I96" s="27" t="str">
        <x:v>第99回明确说明唐僧只受八十难，还需补足九九归真。</x:v>
      </x:c>
    </x:row>
    <x:row r="97">
      <x:c r="A97" s="27" t="str">
        <x:v>V26-032</x:v>
      </x:c>
      <x:c r="B97" s="27" t="str">
        <x:v>第99回</x:v>
      </x:c>
      <x:c r="C97" s="27" t="str">
        <x:v>「果曾問否？」</x:v>
      </x:c>
      <x:c r="D97" s="27" t="str">
        <x:v>V2.6短摘/定位</x:v>
      </x:c>
      <x:c r="E97" s="27" t="str">
        <x:v>第81难：老黿濕經</x:v>
      </x:c>
      <x:c r="F97" s="27" t="str">
        <x:v>小承诺未闭环，也会成为大项目最后一难。</x:v>
      </x:c>
      <x:c r="G97" s="27" t="str">
        <x:v>已补证</x:v>
      </x:c>
      <x:c r="H97" s="27" t="str">
        <x:v>https://zh.wikisource.org/wiki/西遊記/第099回</x:v>
      </x:c>
      <x:c r="I97" s="27" t="str">
        <x:v>老鼋追问托问寿数之事，说明未履行承诺也会变成最后风险。</x:v>
      </x:c>
    </x:row>
    <x:row r="98">
      <x:c r="A98" s="27" t="str">
        <x:v>V26-033</x:v>
      </x:c>
      <x:c r="B98" s="27" t="str">
        <x:v>第99回</x:v>
      </x:c>
      <x:c r="C98" s="27" t="str">
        <x:v>「經包、衣服、鞍轡俱濕」</x:v>
      </x:c>
      <x:c r="D98" s="27" t="str">
        <x:v>V2.6短摘/定位</x:v>
      </x:c>
      <x:c r="E98" s="27" t="str">
        <x:v>第81难：老黿濕經</x:v>
      </x:c>
      <x:c r="F98" s="27" t="str">
        <x:v>成果不是拿到就结束，还要保护、晾晒、修复、交付。</x:v>
      </x:c>
      <x:c r="G98" s="27" t="str">
        <x:v>已补证</x:v>
      </x:c>
      <x:c r="H98" s="27" t="str">
        <x:v>https://zh.wikisource.org/wiki/西遊記/第099回</x:v>
      </x:c>
      <x:c r="I98" s="27" t="str">
        <x:v>成果已经取得，仍可能因运输、交付、保存环节受损。</x:v>
      </x:c>
    </x:row>
    <x:row r="99">
      <x:c r="A99" s="27" t="str">
        <x:v>V26-034</x:v>
      </x:c>
      <x:c r="B99" s="27" t="str">
        <x:v>第99回</x:v>
      </x:c>
      <x:c r="C99" s="27" t="str">
        <x:v>「曬經之石尚存」</x:v>
      </x:c>
      <x:c r="D99" s="27" t="str">
        <x:v>V2.6短摘/定位</x:v>
      </x:c>
      <x:c r="E99" s="27" t="str">
        <x:v>第81难：老黿濕經</x:v>
      </x:c>
      <x:c r="F99" s="27" t="str">
        <x:v>重要工程需要留下可追溯证据。</x:v>
      </x:c>
      <x:c r="G99" s="27" t="str">
        <x:v>已补证</x:v>
      </x:c>
      <x:c r="H99" s="27" t="str">
        <x:v>https://zh.wikisource.org/wiki/西遊記/第099回</x:v>
      </x:c>
      <x:c r="I99" s="27" t="str">
        <x:v>晒经石把最后一难转化为可记忆的物证与文化遗迹。</x:v>
      </x:c>
    </x:row>
  </x:sheetData>
  <x:conditionalFormatting sqref="G2:G36">
    <x:cfRule type="expression" dxfId="4" priority="1">
      <x:formula>$G2="待摘录"</x:formula>
    </x:cfRule>
  </x:conditionalFormatting>
  <x:dataValidations count="1">
    <x:dataValidation type="list" sqref="G2:G36">
      <x:formula1>"已核,待摘录,待校注本复核"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85887f657d487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4" hidden="0" customWidth="1"/>
    <x:col min="5" max="5" width="22" hidden="0" customWidth="1"/>
    <x:col min="6" max="6" width="12" hidden="0" customWidth="1"/>
    <x:col min="7" max="7" width="28" hidden="0" customWidth="1"/>
  </x:cols>
  <x:sheetData>
    <x:row r="1">
      <x:c r="A1" s="118" t="str">
        <x:v>《再读西游》V2.1 校核看板</x:v>
      </x:c>
      <x:c r="B1" s="119" t="str"/>
      <x:c r="C1" s="119" t="str"/>
      <x:c r="D1" s="119" t="str"/>
      <x:c r="E1" s="119" t="str"/>
      <x:c r="F1" s="119" t="str"/>
      <x:c r="G1" s="119" t="str"/>
    </x:row>
    <x:row r="2">
      <x:c r="A2" s="27" t="str">
        <x:v>生成时间</x:v>
      </x:c>
      <x:c r="B2" s="27" t="str">
        <x:v>2026-06-14 03:28</x:v>
      </x:c>
      <x:c r="C2" s="27" t="str"/>
      <x:c r="D2" s="27" t="str">
        <x:v>底本</x:v>
      </x:c>
      <x:c r="E2" s="27" t="str">
        <x:v>V2.0全书数据底座 + 第99回难簿</x:v>
      </x:c>
      <x:c r="F2" s="27" t="str"/>
      <x:c r="G2" s="27" t="str"/>
    </x:row>
    <x:row r="3">
      <x:c r="A3" s="27" t="str">
        <x:v>核心结论</x:v>
      </x:c>
      <x:c r="B3" s="27" t="str">
        <x:v>第99回难簿明列前80难；第99回情节以老鼋落水补足最后一难。</x:v>
      </x:c>
      <x:c r="C3" s="27" t="str"/>
      <x:c r="D3" s="27" t="str"/>
      <x:c r="E3" s="27" t="str"/>
      <x:c r="F3" s="27" t="str"/>
      <x:c r="G3" s="27" t="str"/>
    </x:row>
    <x:row r="4">
      <x:c r="A4" s="120" t="str">
        <x:v>指标</x:v>
      </x:c>
      <x:c r="B4" s="120" t="str">
        <x:v>数值</x:v>
      </x:c>
      <x:c r="C4" s="120" t="str">
        <x:v>说明</x:v>
      </x:c>
      <x:c r="D4" s="120" t="str"/>
      <x:c r="E4" s="120" t="str">
        <x:v>分类</x:v>
      </x:c>
      <x:c r="F4" s="120" t="str">
        <x:v>数量</x:v>
      </x:c>
      <x:c r="G4" s="120" t="str">
        <x:v>说明</x:v>
      </x:c>
    </x:row>
    <x:row r="5">
      <x:c r="A5" s="27" t="str">
        <x:v>正式难数</x:v>
      </x:c>
      <x:c r="B5" s="27" t="n">
        <x:f>COUNTA('10_八十一难校核表'!A2:A200)</x:f>
        <x:v>81</x:v>
      </x:c>
      <x:c r="C5" s="27" t="str">
        <x:v>目标为81</x:v>
      </x:c>
      <x:c r="D5" s="27" t="str"/>
      <x:c r="E5" s="27" t="str">
        <x:v>原文第99回明列</x:v>
      </x:c>
      <x:c r="F5" s="27" t="n">
        <x:f>COUNTIF('10_八十一难校核表'!F:F,"原文第99回明列")</x:f>
        <x:v>80</x:v>
      </x:c>
      <x:c r="G5" s="27" t="str">
        <x:v>第99回难簿直接列出</x:v>
      </x:c>
    </x:row>
    <x:row r="6">
      <x:c r="A6" s="27" t="str">
        <x:v>已明列难数</x:v>
      </x:c>
      <x:c r="B6" s="27" t="n">
        <x:f>COUNTIF('10_八十一难校核表'!F:F,"原文第99回明列")</x:f>
        <x:v>80</x:v>
      </x:c>
      <x:c r="C6" s="27" t="str">
        <x:v>第1—80难</x:v>
      </x:c>
      <x:c r="D6" s="27" t="str"/>
      <x:c r="E6" s="27" t="str">
        <x:v>据第99回情节补足</x:v>
      </x:c>
      <x:c r="F6" s="27" t="n">
        <x:f>COUNTIF('10_八十一难校核表'!F:F,"据第99回情节补足")</x:f>
        <x:v>1</x:v>
      </x:c>
      <x:c r="G6" s="27" t="str">
        <x:v>第81难</x:v>
      </x:c>
    </x:row>
    <x:row r="7">
      <x:c r="A7" s="27" t="str">
        <x:v>已核摘录</x:v>
      </x:c>
      <x:c r="B7" s="27" t="n">
        <x:f>COUNTIF('11_原文摘录表'!G:G,"已核")</x:f>
        <x:v>30</x:v>
      </x:c>
      <x:c r="C7" s="27" t="str">
        <x:v>第99回原文摘录</x:v>
      </x:c>
      <x:c r="D7" s="27" t="str"/>
      <x:c r="E7" s="27" t="str">
        <x:v>待摘录</x:v>
      </x:c>
      <x:c r="F7" s="27" t="n">
        <x:f>COUNTIF('11_原文摘录表'!G:G,"待摘录")</x:f>
        <x:v>5</x:v>
      </x:c>
      <x:c r="G7" s="27" t="str">
        <x:v>后续补重点回目</x:v>
      </x:c>
    </x:row>
    <x:row r="8">
      <x:c r="A8" s="27" t="str">
        <x:v>待摘录</x:v>
      </x:c>
      <x:c r="B8" s="27" t="n">
        <x:f>COUNTIF('11_原文摘录表'!G:G,"待摘录")</x:f>
        <x:v>5</x:v>
      </x:c>
      <x:c r="C8" s="27" t="str">
        <x:v>下一轮补证据</x:v>
      </x:c>
      <x:c r="D8" s="27" t="str"/>
      <x:c r="E8" s="27" t="str"/>
      <x:c r="F8" s="27" t="str"/>
      <x:c r="G8" s="27" t="str"/>
    </x:row>
    <x:row r="9">
      <x:c r="A9" s="27" t="str">
        <x:v>下一步建议</x:v>
      </x:c>
      <x:c r="B9" s="27" t="str">
        <x:v>V2.2：按专题补原文摘录，优先三打白骨精、真假美猴王、小雷音寺、狮驼岭。</x:v>
      </x:c>
      <x:c r="C9" s="27" t="str"/>
      <x:c r="D9" s="27" t="str"/>
      <x:c r="E9" s="27" t="str"/>
      <x:c r="F9" s="27" t="str"/>
      <x:c r="G9" s="27" t="str"/>
    </x:row>
    <x:row r="12">
      <x:c r="A12" s="129" t="str">
        <x:v>V2.2新增校核项</x:v>
      </x:c>
      <x:c r="B12" s="129" t="str">
        <x:v>数值</x:v>
      </x:c>
      <x:c r="C12" s="129" t="str">
        <x:v>说明</x:v>
      </x:c>
      <x:c r="D12" s="129" t="str"/>
      <x:c r="E12" s="129" t="str"/>
      <x:c r="F12" s="129" t="str"/>
      <x:c r="G12" s="129" t="str"/>
    </x:row>
    <x:row r="13">
      <x:c r="A13" s="130" t="str">
        <x:v>专题摘录补强表</x:v>
      </x:c>
      <x:c r="B13" s="130" t="str">
        <x:v>13_专题摘录补强</x:v>
      </x:c>
      <x:c r="C13" s="130" t="str">
        <x:v>新增四组专题证据链</x:v>
      </x:c>
      <x:c r="D13" s="130" t="str"/>
      <x:c r="E13" s="130" t="str"/>
      <x:c r="F13" s="130" t="str"/>
      <x:c r="G13" s="130" t="str"/>
    </x:row>
    <x:row r="14">
      <x:c r="A14" s="130" t="str">
        <x:v>新增专题摘录条数</x:v>
      </x:c>
      <x:c r="B14" s="130" t="n">
        <x:v>29</x:v>
      </x:c>
      <x:c r="C14" s="130" t="str">
        <x:v>已同步追加到11_原文摘录表</x:v>
      </x:c>
      <x:c r="D14" s="130" t="str"/>
      <x:c r="E14" s="130" t="str"/>
      <x:c r="F14" s="130" t="str"/>
      <x:c r="G14" s="130" t="str"/>
    </x:row>
    <x:row r="15">
      <x:c r="A15" s="130" t="str">
        <x:v>补强专题</x:v>
      </x:c>
      <x:c r="B15" s="130" t="str">
        <x:v>4</x:v>
      </x:c>
      <x:c r="C15" s="130" t="str">
        <x:v>三打白骨精/真假美猴王/小雷音寺/狮驼岭</x:v>
      </x:c>
      <x:c r="D15" s="130" t="str"/>
      <x:c r="E15" s="130" t="str"/>
      <x:c r="F15" s="130" t="str"/>
      <x:c r="G15" s="130" t="str"/>
    </x:row>
    <x:row r="16">
      <x:c r="A16" s="130" t="str">
        <x:v>下一步</x:v>
      </x:c>
      <x:c r="B16" s="130" t="str">
        <x:v>V2.3</x:v>
      </x:c>
      <x:c r="C16" s="130" t="str">
        <x:v>总图谱、热力图、专题写作目录</x:v>
      </x:c>
      <x:c r="D16" s="130" t="str"/>
      <x:c r="E16" s="130" t="str"/>
      <x:c r="F16" s="130" t="str"/>
      <x:c r="G16" s="130" t="str"/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0" hidden="0" customWidth="1"/>
    <x:col min="5" max="5" width="22" hidden="0" customWidth="1"/>
    <x:col min="6" max="6" width="24" hidden="0" customWidth="1"/>
    <x:col min="7" max="7" width="14" hidden="0" customWidth="1"/>
    <x:col min="8" max="8" width="18" hidden="0" customWidth="1"/>
    <x:col min="9" max="9" width="34" hidden="0" customWidth="1"/>
    <x:col min="10" max="10" width="28" hidden="0" customWidth="1"/>
    <x:col min="11" max="11" width="36" hidden="0" customWidth="1"/>
    <x:col min="12" max="12" width="14" hidden="0" customWidth="1"/>
  </x:cols>
  <x:sheetData>
    <x:row r="1">
      <x:c r="A1" s="129" t="str">
        <x:v>专题编号</x:v>
      </x:c>
      <x:c r="B1" s="129" t="str">
        <x:v>专题名称</x:v>
      </x:c>
      <x:c r="C1" s="129" t="str">
        <x:v>证据链序号</x:v>
      </x:c>
      <x:c r="D1" s="129" t="str">
        <x:v>回目</x:v>
      </x:c>
      <x:c r="E1" s="129" t="str">
        <x:v>关键场景</x:v>
      </x:c>
      <x:c r="F1" s="129" t="str">
        <x:v>原文短摘</x:v>
      </x:c>
      <x:c r="G1" s="129" t="str">
        <x:v>证据类型</x:v>
      </x:c>
      <x:c r="H1" s="129" t="str">
        <x:v>关键人物/对象</x:v>
      </x:c>
      <x:c r="I1" s="129" t="str">
        <x:v>可支撑观点</x:v>
      </x:c>
      <x:c r="J1" s="129" t="str">
        <x:v>可写文章标题</x:v>
      </x:c>
      <x:c r="K1" s="129" t="str">
        <x:v>来源URL</x:v>
      </x:c>
      <x:c r="L1" s="129" t="str">
        <x:v>校核状态</x:v>
      </x:c>
    </x:row>
    <x:row r="2">
      <x:c r="A2" s="130" t="str">
        <x:v>S01</x:v>
      </x:c>
      <x:c r="B2" s="130" t="str">
        <x:v>三打白骨精：专业判断与领导误判</x:v>
      </x:c>
      <x:c r="C2" s="130" t="n">
        <x:v>1</x:v>
      </x:c>
      <x:c r="D2" s="130" t="str">
        <x:v>第27回</x:v>
      </x:c>
      <x:c r="E2" s="130" t="str">
        <x:v>白骨精第一次变作送饭女子</x:v>
      </x:c>
      <x:c r="F2" s="130" t="str">
        <x:v>山高必有怪，岭峻却生精</x:v>
      </x:c>
      <x:c r="G2" s="130" t="str">
        <x:v>叙事伏笔</x:v>
      </x:c>
      <x:c r="H2" s="130" t="str">
        <x:v>白骨精/孙悟空</x:v>
      </x:c>
      <x:c r="I2" s="130" t="str">
        <x:v>风险出现前文本已给出预警，悟空的专业判断并非无端暴力。</x:v>
      </x:c>
      <x:c r="J2" s="130" t="str">
        <x:v>《三打白骨精：为什么专业判断输给了表象》</x:v>
      </x:c>
      <x:c r="K2" s="130" t="str">
        <x:v>https://zh.wikisource.org/wiki/西遊記/第027回</x:v>
      </x:c>
      <x:c r="L2" s="130" t="str">
        <x:v>已核-短摘</x:v>
      </x:c>
    </x:row>
    <x:row r="3">
      <x:c r="A3" s="130" t="str">
        <x:v>S01</x:v>
      </x:c>
      <x:c r="B3" s="130" t="str">
        <x:v>三打白骨精：专业判断与领导误判</x:v>
      </x:c>
      <x:c r="C3" s="130" t="n">
        <x:v>2</x:v>
      </x:c>
      <x:c r="D3" s="130" t="str">
        <x:v>第27回</x:v>
      </x:c>
      <x:c r="E3" s="130" t="str">
        <x:v>悟空识破饭食骗局</x:v>
      </x:c>
      <x:c r="F3" s="130" t="str">
        <x:v>却是一罐子拖尾巴的长蛆</x:v>
      </x:c>
      <x:c r="G3" s="130" t="str">
        <x:v>实证证据</x:v>
      </x:c>
      <x:c r="H3" s="130" t="str">
        <x:v>孙悟空/唐僧/八戒</x:v>
      </x:c>
      <x:c r="I3" s="130" t="str">
        <x:v>现场证据能证明风险，但仍可能被内部噪声抵消。</x:v>
      </x:c>
      <x:c r="J3" s="130" t="str">
        <x:v>《现场证据为什么没有说服唐僧》</x:v>
      </x:c>
      <x:c r="K3" s="130" t="str">
        <x:v>https://zh.wikisource.org/wiki/西遊記/第027回</x:v>
      </x:c>
      <x:c r="L3" s="130" t="str">
        <x:v>已核-短摘</x:v>
      </x:c>
    </x:row>
    <x:row r="4">
      <x:c r="A4" s="130" t="str">
        <x:v>S01</x:v>
      </x:c>
      <x:c r="B4" s="130" t="str">
        <x:v>三打白骨精：专业判断与领导误判</x:v>
      </x:c>
      <x:c r="C4" s="130" t="n">
        <x:v>3</x:v>
      </x:c>
      <x:c r="D4" s="130" t="str">
        <x:v>第27回</x:v>
      </x:c>
      <x:c r="E4" s="130" t="str">
        <x:v>八戒在旁边挑动误判</x:v>
      </x:c>
      <x:c r="F4" s="130" t="str">
        <x:v>在旁漏八分儿唆嘴</x:v>
      </x:c>
      <x:c r="G4" s="130" t="str">
        <x:v>组织噪声</x:v>
      </x:c>
      <x:c r="H4" s="130" t="str">
        <x:v>猪八戒/唐僧</x:v>
      </x:c>
      <x:c r="I4" s="130" t="str">
        <x:v>错误信息在组织内部被放大，会削弱专业判断。</x:v>
      </x:c>
      <x:c r="J4" s="130" t="str">
        <x:v>《八戒的几句话，如何改变一个团队判断》</x:v>
      </x:c>
      <x:c r="K4" s="130" t="str">
        <x:v>https://zh.wikisource.org/wiki/西遊記/第027回</x:v>
      </x:c>
      <x:c r="L4" s="130" t="str">
        <x:v>已核-短摘</x:v>
      </x:c>
    </x:row>
    <x:row r="5">
      <x:c r="A5" s="130" t="str">
        <x:v>S01</x:v>
      </x:c>
      <x:c r="B5" s="130" t="str">
        <x:v>三打白骨精：专业判断与领导误判</x:v>
      </x:c>
      <x:c r="C5" s="130" t="n">
        <x:v>4</x:v>
      </x:c>
      <x:c r="D5" s="130" t="str">
        <x:v>第27回</x:v>
      </x:c>
      <x:c r="E5" s="130" t="str">
        <x:v>唐僧以慈悲立场责备悟空</x:v>
      </x:c>
      <x:c r="F5" s="130" t="str">
        <x:v>扫地恐伤蝼蚁命</x:v>
      </x:c>
      <x:c r="G5" s="130" t="str">
        <x:v>价值冲突</x:v>
      </x:c>
      <x:c r="H5" s="130" t="str">
        <x:v>唐僧/孙悟空</x:v>
      </x:c>
      <x:c r="I5" s="130" t="str">
        <x:v>慈悲原则若脱离辨伪能力，容易被伪善利用。</x:v>
      </x:c>
      <x:c r="J5" s="130" t="str">
        <x:v>《慈悲也需要辨识力》</x:v>
      </x:c>
      <x:c r="K5" s="130" t="str">
        <x:v>https://zh.wikisource.org/wiki/西遊記/第027回</x:v>
      </x:c>
      <x:c r="L5" s="130" t="str">
        <x:v>已核-短摘</x:v>
      </x:c>
    </x:row>
    <x:row r="6">
      <x:c r="A6" s="130" t="str">
        <x:v>S01</x:v>
      </x:c>
      <x:c r="B6" s="130" t="str">
        <x:v>三打白骨精：专业判断与领导误判</x:v>
      </x:c>
      <x:c r="C6" s="130" t="n">
        <x:v>5</x:v>
      </x:c>
      <x:c r="D6" s="130" t="str">
        <x:v>第27回</x:v>
      </x:c>
      <x:c r="E6" s="130" t="str">
        <x:v>悟空请求山神土地作证</x:v>
      </x:c>
      <x:c r="F6" s="130" t="str">
        <x:v>你与我在半空中作证</x:v>
      </x:c>
      <x:c r="G6" s="130" t="str">
        <x:v>证据意识</x:v>
      </x:c>
      <x:c r="H6" s="130" t="str">
        <x:v>孙悟空/山神土地</x:v>
      </x:c>
      <x:c r="I6" s="130" t="str">
        <x:v>悟空并非任性处置，而是尝试建立旁证。</x:v>
      </x:c>
      <x:c r="J6" s="130" t="str">
        <x:v>《孙悟空的证据意识》</x:v>
      </x:c>
      <x:c r="K6" s="130" t="str">
        <x:v>https://zh.wikisource.org/wiki/西遊記/第027回</x:v>
      </x:c>
      <x:c r="L6" s="130" t="str">
        <x:v>已核-短摘</x:v>
      </x:c>
    </x:row>
    <x:row r="7">
      <x:c r="A7" s="130" t="str">
        <x:v>S01</x:v>
      </x:c>
      <x:c r="B7" s="130" t="str">
        <x:v>三打白骨精：专业判断与领导误判</x:v>
      </x:c>
      <x:c r="C7" s="130" t="n">
        <x:v>6</x:v>
      </x:c>
      <x:c r="D7" s="130" t="str">
        <x:v>第27回</x:v>
      </x:c>
      <x:c r="E7" s="130" t="str">
        <x:v>唐僧写下贬书逐走悟空</x:v>
      </x:c>
      <x:c r="F7" s="130" t="str">
        <x:v>执此为照，再不要你做徒弟了</x:v>
      </x:c>
      <x:c r="G7" s="130" t="str">
        <x:v>决策后果</x:v>
      </x:c>
      <x:c r="H7" s="130" t="str">
        <x:v>唐僧/孙悟空</x:v>
      </x:c>
      <x:c r="I7" s="130" t="str">
        <x:v>逐走关键人才后，取经系统进入失能风险。</x:v>
      </x:c>
      <x:c r="J7" s="130" t="str">
        <x:v>《逐猴王之后：关键人才离队的系统风险》</x:v>
      </x:c>
      <x:c r="K7" s="130" t="str">
        <x:v>https://zh.wikisource.org/wiki/西遊記/第027回</x:v>
      </x:c>
      <x:c r="L7" s="130" t="str">
        <x:v>已核-短摘</x:v>
      </x:c>
    </x:row>
    <x:row r="8">
      <x:c r="A8" s="130" t="str">
        <x:v>S01</x:v>
      </x:c>
      <x:c r="B8" s="130" t="str">
        <x:v>三打白骨精：专业判断与领导误判</x:v>
      </x:c>
      <x:c r="C8" s="130" t="n">
        <x:v>7</x:v>
      </x:c>
      <x:c r="D8" s="130" t="str">
        <x:v>第27回</x:v>
      </x:c>
      <x:c r="E8" s="130" t="str">
        <x:v>悟空含悲离队仍嘱托沙僧</x:v>
      </x:c>
      <x:c r="F8" s="130" t="str">
        <x:v>留心防着八戒詀言詀语</x:v>
      </x:c>
      <x:c r="G8" s="130" t="str">
        <x:v>临别嘱托</x:v>
      </x:c>
      <x:c r="H8" s="130" t="str">
        <x:v>孙悟空/沙僧/八戒</x:v>
      </x:c>
      <x:c r="I8" s="130" t="str">
        <x:v>悟空临走仍在做风险交接，显示责任伦理。</x:v>
      </x:c>
      <x:c r="J8" s="130" t="str">
        <x:v>《被误解之后，孙悟空仍在交接风险》</x:v>
      </x:c>
      <x:c r="K8" s="130" t="str">
        <x:v>https://zh.wikisource.org/wiki/西遊記/第027回</x:v>
      </x:c>
      <x:c r="L8" s="130" t="str">
        <x:v>已核-短摘</x:v>
      </x:c>
    </x:row>
    <x:row r="9">
      <x:c r="A9" s="130" t="str">
        <x:v>S02</x:v>
      </x:c>
      <x:c r="B9" s="130" t="str">
        <x:v>真假美猴王：二心与身份复制</x:v>
      </x:c>
      <x:c r="C9" s="130" t="n">
        <x:v>1</x:v>
      </x:c>
      <x:c r="D9" s="130" t="str">
        <x:v>第57回</x:v>
      </x:c>
      <x:c r="E9" s="130" t="str">
        <x:v>悟空被逐后重新求回团队</x:v>
      </x:c>
      <x:c r="F9" s="130" t="str">
        <x:v>我还去见我师父，还是正果</x:v>
      </x:c>
      <x:c r="G9" s="130" t="str">
        <x:v>归队意识</x:v>
      </x:c>
      <x:c r="H9" s="130" t="str">
        <x:v>孙悟空/唐僧</x:v>
      </x:c>
      <x:c r="I9" s="130" t="str">
        <x:v>真悟空被伤害后仍回到取经目标，显示目标认同。</x:v>
      </x:c>
      <x:c r="J9" s="130" t="str">
        <x:v>《真悟空为什么还要回去》</x:v>
      </x:c>
      <x:c r="K9" s="130" t="str">
        <x:v>https://zh.wikisource.org/wiki/西遊記/第057回</x:v>
      </x:c>
      <x:c r="L9" s="130" t="str">
        <x:v>已核-短摘</x:v>
      </x:c>
    </x:row>
    <x:row r="10">
      <x:c r="A10" s="130" t="str">
        <x:v>S02</x:v>
      </x:c>
      <x:c r="B10" s="130" t="str">
        <x:v>真假美猴王：二心与身份复制</x:v>
      </x:c>
      <x:c r="C10" s="130" t="n">
        <x:v>2</x:v>
      </x:c>
      <x:c r="D10" s="130" t="str">
        <x:v>第57回</x:v>
      </x:c>
      <x:c r="E10" s="130" t="str">
        <x:v>悟空往落伽山诉苦</x:v>
      </x:c>
      <x:c r="F10" s="130" t="str">
        <x:v>告求菩萨</x:v>
      </x:c>
      <x:c r="G10" s="130" t="str">
        <x:v>申诉机制</x:v>
      </x:c>
      <x:c r="H10" s="130" t="str">
        <x:v>孙悟空/观音</x:v>
      </x:c>
      <x:c r="I10" s="130" t="str">
        <x:v>当团队内部仲裁失灵，成员转向上级或外部调解。</x:v>
      </x:c>
      <x:c r="J10" s="130" t="str">
        <x:v>《真假美猴王前夜：组织内部申诉》</x:v>
      </x:c>
      <x:c r="K10" s="130" t="str">
        <x:v>https://zh.wikisource.org/wiki/西遊記/第057回</x:v>
      </x:c>
      <x:c r="L10" s="130" t="str">
        <x:v>已核-短摘</x:v>
      </x:c>
    </x:row>
    <x:row r="11">
      <x:c r="A11" s="130" t="str">
        <x:v>S02</x:v>
      </x:c>
      <x:c r="B11" s="130" t="str">
        <x:v>真假美猴王：二心与身份复制</x:v>
      </x:c>
      <x:c r="C11" s="130" t="n">
        <x:v>3</x:v>
      </x:c>
      <x:c r="D11" s="130" t="str">
        <x:v>第57回</x:v>
      </x:c>
      <x:c r="E11" s="130" t="str">
        <x:v>假猴王据水帘洞拟造取经班子</x:v>
      </x:c>
      <x:c r="F11" s="130" t="str">
        <x:v>假猴王水帘洞謄文</x:v>
      </x:c>
      <x:c r="G11" s="130" t="str">
        <x:v>身份伪造</x:v>
      </x:c>
      <x:c r="H11" s="130" t="str">
        <x:v>六耳猕猴/猴群</x:v>
      </x:c>
      <x:c r="I11" s="130" t="str">
        <x:v>假悟空不仅复制个人形貌，还复制组织名义。</x:v>
      </x:c>
      <x:c r="J11" s="130" t="str">
        <x:v>《复制一个孙悟空，也复制一个取经项目》</x:v>
      </x:c>
      <x:c r="K11" s="130" t="str">
        <x:v>https://zh.wikisource.org/wiki/西遊記/第057回</x:v>
      </x:c>
      <x:c r="L11" s="130" t="str">
        <x:v>已核-回目</x:v>
      </x:c>
    </x:row>
    <x:row r="12">
      <x:c r="A12" s="130" t="str">
        <x:v>S02</x:v>
      </x:c>
      <x:c r="B12" s="130" t="str">
        <x:v>真假美猴王：二心与身份复制</x:v>
      </x:c>
      <x:c r="C12" s="130" t="n">
        <x:v>4</x:v>
      </x:c>
      <x:c r="D12" s="130" t="str">
        <x:v>第58回</x:v>
      </x:c>
      <x:c r="E12" s="130" t="str">
        <x:v>真假悟空初见</x:v>
      </x:c>
      <x:c r="F12" s="130" t="str">
        <x:v>模样与大圣无异</x:v>
      </x:c>
      <x:c r="G12" s="130" t="str">
        <x:v>身份复制</x:v>
      </x:c>
      <x:c r="H12" s="130" t="str">
        <x:v>孙悟空/六耳猕猴</x:v>
      </x:c>
      <x:c r="I12" s="130" t="str">
        <x:v>身份风险的最高形态是“外形、能力、话语”全复制。</x:v>
      </x:c>
      <x:c r="J12" s="130" t="str">
        <x:v>《最难辨认的是另一个自己》</x:v>
      </x:c>
      <x:c r="K12" s="130" t="str">
        <x:v>https://zh.wikisource.org/wiki/西遊記/第058回</x:v>
      </x:c>
      <x:c r="L12" s="130" t="str">
        <x:v>已核-短摘</x:v>
      </x:c>
    </x:row>
    <x:row r="13">
      <x:c r="A13" s="130" t="str">
        <x:v>S02</x:v>
      </x:c>
      <x:c r="B13" s="130" t="str">
        <x:v>真假美猴王：二心与身份复制</x:v>
      </x:c>
      <x:c r="C13" s="130" t="n">
        <x:v>5</x:v>
      </x:c>
      <x:c r="D13" s="130" t="str">
        <x:v>第58回</x:v>
      </x:c>
      <x:c r="E13" s="130" t="str">
        <x:v>二猴相斗</x:v>
      </x:c>
      <x:c r="F13" s="130" t="str">
        <x:v>不分真假</x:v>
      </x:c>
      <x:c r="G13" s="130" t="str">
        <x:v>辨识困境</x:v>
      </x:c>
      <x:c r="H13" s="130" t="str">
        <x:v>孙悟空/六耳猕猴</x:v>
      </x:c>
      <x:c r="I13" s="130" t="str">
        <x:v>当复制者足够相似，普通识别机制全部失灵。</x:v>
      </x:c>
      <x:c r="J13" s="130" t="str">
        <x:v>《不分真假：组织身份识别的极限》</x:v>
      </x:c>
      <x:c r="K13" s="130" t="str">
        <x:v>https://zh.wikisource.org/wiki/西遊記/第058回</x:v>
      </x:c>
      <x:c r="L13" s="130" t="str">
        <x:v>已核-短摘</x:v>
      </x:c>
    </x:row>
    <x:row r="14">
      <x:c r="A14" s="130" t="str">
        <x:v>S02</x:v>
      </x:c>
      <x:c r="B14" s="130" t="str">
        <x:v>真假美猴王：二心与身份复制</x:v>
      </x:c>
      <x:c r="C14" s="130" t="n">
        <x:v>6</x:v>
      </x:c>
      <x:c r="D14" s="130" t="str">
        <x:v>第58回</x:v>
      </x:c>
      <x:c r="E14" s="130" t="str">
        <x:v>回目点明二心之义</x:v>
      </x:c>
      <x:c r="F14" s="130" t="str">
        <x:v>二心搅乱大乾坤</x:v>
      </x:c>
      <x:c r="G14" s="130" t="str">
        <x:v>思想主题</x:v>
      </x:c>
      <x:c r="H14" s="130" t="str">
        <x:v>孙悟空/六耳猕猴</x:v>
      </x:c>
      <x:c r="I14" s="130" t="str">
        <x:v>真假之争不仅是妖怪事件，更是心性分裂。</x:v>
      </x:c>
      <x:c r="J14" s="130" t="str">
        <x:v>《二心搅乱大乾坤》</x:v>
      </x:c>
      <x:c r="K14" s="130" t="str">
        <x:v>https://zh.wikisource.org/wiki/西遊記/第058回</x:v>
      </x:c>
      <x:c r="L14" s="130" t="str">
        <x:v>已核-回目</x:v>
      </x:c>
    </x:row>
    <x:row r="15">
      <x:c r="A15" s="130" t="str">
        <x:v>S02</x:v>
      </x:c>
      <x:c r="B15" s="130" t="str">
        <x:v>真假美猴王：二心与身份复制</x:v>
      </x:c>
      <x:c r="C15" s="130" t="n">
        <x:v>7</x:v>
      </x:c>
      <x:c r="D15" s="130" t="str">
        <x:v>第58回</x:v>
      </x:c>
      <x:c r="E15" s="130" t="str">
        <x:v>如来终局裁断</x:v>
      </x:c>
      <x:c r="F15" s="130" t="str">
        <x:v>一体难修真寂灭</x:v>
      </x:c>
      <x:c r="G15" s="130" t="str">
        <x:v>终裁机制</x:v>
      </x:c>
      <x:c r="H15" s="130" t="str">
        <x:v>如来/六耳猕猴</x:v>
      </x:c>
      <x:c r="I15" s="130" t="str">
        <x:v>身份复制危机最终需要最高真理系统裁断。</x:v>
      </x:c>
      <x:c r="J15" s="130" t="str">
        <x:v>《谛听不说破，如来才终裁》</x:v>
      </x:c>
      <x:c r="K15" s="130" t="str">
        <x:v>https://zh.wikisource.org/wiki/西遊記/第058回</x:v>
      </x:c>
      <x:c r="L15" s="130" t="str">
        <x:v>已核-回目</x:v>
      </x:c>
    </x:row>
    <x:row r="16">
      <x:c r="A16" s="130" t="str">
        <x:v>S03</x:v>
      </x:c>
      <x:c r="B16" s="130" t="str">
        <x:v>小雷音寺：假权威与成果质量风险</x:v>
      </x:c>
      <x:c r="C16" s="130" t="n">
        <x:v>1</x:v>
      </x:c>
      <x:c r="D16" s="130" t="str">
        <x:v>第65回</x:v>
      </x:c>
      <x:c r="E16" s="130" t="str">
        <x:v>小雷音寺外观与雷音相似</x:v>
      </x:c>
      <x:c r="F16" s="130" t="str">
        <x:v>也似雷音，却又路道差池</x:v>
      </x:c>
      <x:c r="G16" s="130" t="str">
        <x:v>假权威预警</x:v>
      </x:c>
      <x:c r="H16" s="130" t="str">
        <x:v>孙悟空/唐僧</x:v>
      </x:c>
      <x:c r="I16" s="130" t="str">
        <x:v>悟空能识别外观相似与路径不符之间的矛盾。</x:v>
      </x:c>
      <x:c r="J16" s="130" t="str">
        <x:v>《小雷音寺：越像真的，越危险》</x:v>
      </x:c>
      <x:c r="K16" s="130" t="str">
        <x:v>https://zh.wikisource.org/wiki/西遊記/第065回</x:v>
      </x:c>
      <x:c r="L16" s="130" t="str">
        <x:v>已核-短摘</x:v>
      </x:c>
    </x:row>
    <x:row r="17">
      <x:c r="A17" s="130" t="str">
        <x:v>S03</x:v>
      </x:c>
      <x:c r="B17" s="130" t="str">
        <x:v>小雷音寺：假权威与成果质量风险</x:v>
      </x:c>
      <x:c r="C17" s="130" t="n">
        <x:v>2</x:v>
      </x:c>
      <x:c r="D17" s="130" t="str">
        <x:v>第65回</x:v>
      </x:c>
      <x:c r="E17" s="130" t="str">
        <x:v>唐僧执意入寺礼拜</x:v>
      </x:c>
      <x:c r="F17" s="130" t="str">
        <x:v>有佛有经，无方无宝</x:v>
      </x:c>
      <x:c r="G17" s="130" t="str">
        <x:v>价值误判</x:v>
      </x:c>
      <x:c r="H17" s="130" t="str">
        <x:v>唐僧/孙悟空</x:v>
      </x:c>
      <x:c r="I17" s="130" t="str">
        <x:v>信仰目标若缺少程序辨伪，会被假权威利用。</x:v>
      </x:c>
      <x:c r="J17" s="130" t="str">
        <x:v>《遇佛拜佛，也要先辨真假》</x:v>
      </x:c>
      <x:c r="K17" s="130" t="str">
        <x:v>https://zh.wikisource.org/wiki/西遊記/第065回</x:v>
      </x:c>
      <x:c r="L17" s="130" t="str">
        <x:v>已核-短摘</x:v>
      </x:c>
    </x:row>
    <x:row r="18">
      <x:c r="A18" s="130" t="str">
        <x:v>S03</x:v>
      </x:c>
      <x:c r="B18" s="130" t="str">
        <x:v>小雷音寺：假权威与成果质量风险</x:v>
      </x:c>
      <x:c r="C18" s="130" t="n">
        <x:v>3</x:v>
      </x:c>
      <x:c r="D18" s="130" t="str">
        <x:v>第65回</x:v>
      </x:c>
      <x:c r="E18" s="130" t="str">
        <x:v>悟空直接识破冒牌佛祖</x:v>
      </x:c>
      <x:c r="F18" s="130" t="str">
        <x:v>假倚佛名，败坏如来清德</x:v>
      </x:c>
      <x:c r="G18" s="130" t="str">
        <x:v>揭伪判断</x:v>
      </x:c>
      <x:c r="H18" s="130" t="str">
        <x:v>孙悟空/黄眉怪</x:v>
      </x:c>
      <x:c r="I18" s="130" t="str">
        <x:v>假权威最危险之处在于借真名行假事。</x:v>
      </x:c>
      <x:c r="J18" s="130" t="str">
        <x:v>《假倚佛名：小雷音寺的制度风险》</x:v>
      </x:c>
      <x:c r="K18" s="130" t="str">
        <x:v>https://zh.wikisource.org/wiki/西遊記/第065回</x:v>
      </x:c>
      <x:c r="L18" s="130" t="str">
        <x:v>已核-短摘</x:v>
      </x:c>
    </x:row>
    <x:row r="19">
      <x:c r="A19" s="130" t="str">
        <x:v>S03</x:v>
      </x:c>
      <x:c r="B19" s="130" t="str">
        <x:v>小雷音寺：假权威与成果质量风险</x:v>
      </x:c>
      <x:c r="C19" s="130" t="n">
        <x:v>4</x:v>
      </x:c>
      <x:c r="D19" s="130" t="str">
        <x:v>第65回</x:v>
      </x:c>
      <x:c r="E19" s="130" t="str">
        <x:v>金铙困住悟空</x:v>
      </x:c>
      <x:c r="F19" s="130" t="str">
        <x:v>合在金铙之内</x:v>
      </x:c>
      <x:c r="G19" s="130" t="str">
        <x:v>法宝压制</x:v>
      </x:c>
      <x:c r="H19" s="130" t="str">
        <x:v>黄眉怪/孙悟空</x:v>
      </x:c>
      <x:c r="I19" s="130" t="str">
        <x:v>关键法宝能压制核心能力，使救援链条延迟。</x:v>
      </x:c>
      <x:c r="J19" s="130" t="str">
        <x:v>《金铙：核心能力被封闭之后》</x:v>
      </x:c>
      <x:c r="K19" s="130" t="str">
        <x:v>https://zh.wikisource.org/wiki/西遊記/第065回</x:v>
      </x:c>
      <x:c r="L19" s="130" t="str">
        <x:v>已核-短摘</x:v>
      </x:c>
    </x:row>
    <x:row r="20">
      <x:c r="A20" s="130" t="str">
        <x:v>S03</x:v>
      </x:c>
      <x:c r="B20" s="130" t="str">
        <x:v>小雷音寺：假权威与成果质量风险</x:v>
      </x:c>
      <x:c r="C20" s="130" t="n">
        <x:v>5</x:v>
      </x:c>
      <x:c r="D20" s="130" t="str">
        <x:v>第65回</x:v>
      </x:c>
      <x:c r="E20" s="130" t="str">
        <x:v>人种袋收走多方救援</x:v>
      </x:c>
      <x:c r="F20" s="130" t="str">
        <x:v>一搭包儿通装将去</x:v>
      </x:c>
      <x:c r="G20" s="130" t="str">
        <x:v>法宝升级</x:v>
      </x:c>
      <x:c r="H20" s="130" t="str">
        <x:v>黄眉怪/诸神</x:v>
      </x:c>
      <x:c r="I20" s="130" t="str">
        <x:v>人种袋让传统救援力量集体失效。</x:v>
      </x:c>
      <x:c r="J20" s="130" t="str">
        <x:v>《人种袋：救援系统为何连续失效》</x:v>
      </x:c>
      <x:c r="K20" s="130" t="str">
        <x:v>https://zh.wikisource.org/wiki/西遊記/第065回</x:v>
      </x:c>
      <x:c r="L20" s="130" t="str">
        <x:v>已核-短摘</x:v>
      </x:c>
    </x:row>
    <x:row r="21">
      <x:c r="A21" s="130" t="str">
        <x:v>S03</x:v>
      </x:c>
      <x:c r="B21" s="130" t="str">
        <x:v>小雷音寺：假权威与成果质量风险</x:v>
      </x:c>
      <x:c r="C21" s="130" t="n">
        <x:v>6</x:v>
      </x:c>
      <x:c r="D21" s="130" t="str">
        <x:v>第66回</x:v>
      </x:c>
      <x:c r="E21" s="130" t="str">
        <x:v>悟空向多方求援仍受挫</x:v>
      </x:c>
      <x:c r="F21" s="130" t="str">
        <x:v>百计千方难救你</x:v>
      </x:c>
      <x:c r="G21" s="130" t="str">
        <x:v>救援困局</x:v>
      </x:c>
      <x:c r="H21" s="130" t="str">
        <x:v>孙悟空/唐僧</x:v>
      </x:c>
      <x:c r="I21" s="130" t="str">
        <x:v>小雷音寺之难体现多轮救援、重复失败、持续纠偏。</x:v>
      </x:c>
      <x:c r="J21" s="130" t="str">
        <x:v>《百计千方难救你》</x:v>
      </x:c>
      <x:c r="K21" s="130" t="str">
        <x:v>https://zh.wikisource.org/wiki/西遊記/第066回</x:v>
      </x:c>
      <x:c r="L21" s="130" t="str">
        <x:v>已核-短摘</x:v>
      </x:c>
    </x:row>
    <x:row r="22">
      <x:c r="A22" s="130" t="str">
        <x:v>S03</x:v>
      </x:c>
      <x:c r="B22" s="130" t="str">
        <x:v>小雷音寺：假权威与成果质量风险</x:v>
      </x:c>
      <x:c r="C22" s="130" t="n">
        <x:v>7</x:v>
      </x:c>
      <x:c r="D22" s="130" t="str">
        <x:v>第66回</x:v>
      </x:c>
      <x:c r="E22" s="130" t="str">
        <x:v>弥勒出现并收伏黄眉</x:v>
      </x:c>
      <x:c r="F22" s="130" t="str">
        <x:v>南无弥勒笑和尚</x:v>
      </x:c>
      <x:c r="G22" s="130" t="str">
        <x:v>后台收束</x:v>
      </x:c>
      <x:c r="H22" s="130" t="str">
        <x:v>弥勒/黄眉怪</x:v>
      </x:c>
      <x:c r="I22" s="130" t="str">
        <x:v>假权威危机最终由真正权属方收束。</x:v>
      </x:c>
      <x:c r="J22" s="130" t="str">
        <x:v>《弥勒收黄眉：后台责任的归位》</x:v>
      </x:c>
      <x:c r="K22" s="130" t="str">
        <x:v>https://zh.wikisource.org/wiki/西遊記/第066回</x:v>
      </x:c>
      <x:c r="L22" s="130" t="str">
        <x:v>已核-短摘</x:v>
      </x:c>
    </x:row>
    <x:row r="23">
      <x:c r="A23" s="130" t="str">
        <x:v>S04</x:v>
      </x:c>
      <x:c r="B23" s="130" t="str">
        <x:v>狮驼岭：组织化妖怪与极端风险治理</x:v>
      </x:c>
      <x:c r="C23" s="130" t="n">
        <x:v>1</x:v>
      </x:c>
      <x:c r="D23" s="130" t="str">
        <x:v>第74回</x:v>
      </x:c>
      <x:c r="E23" s="130" t="str">
        <x:v>太白金星预警</x:v>
      </x:c>
      <x:c r="F23" s="130" t="str">
        <x:v>有一伙妖魔，吃尽了阎浮世上人</x:v>
      </x:c>
      <x:c r="G23" s="130" t="str">
        <x:v>最高预警</x:v>
      </x:c>
      <x:c r="H23" s="130" t="str">
        <x:v>太白金星/唐僧团队</x:v>
      </x:c>
      <x:c r="I23" s="130" t="str">
        <x:v>狮驼岭不是普通山妖，而是区域性极端风险。</x:v>
      </x:c>
      <x:c r="J23" s="130" t="str">
        <x:v>《狮驼岭：全书最重的组织化风险》</x:v>
      </x:c>
      <x:c r="K23" s="130" t="str">
        <x:v>https://zh.wikisource.org/wiki/西遊記/第074回</x:v>
      </x:c>
      <x:c r="L23" s="130" t="str">
        <x:v>已核-短摘</x:v>
      </x:c>
    </x:row>
    <x:row r="24">
      <x:c r="A24" s="130" t="str">
        <x:v>S04</x:v>
      </x:c>
      <x:c r="B24" s="130" t="str">
        <x:v>狮驼岭：组织化妖怪与极端风险治理</x:v>
      </x:c>
      <x:c r="C24" s="130" t="n">
        <x:v>2</x:v>
      </x:c>
      <x:c r="D24" s="130" t="str">
        <x:v>第75回</x:v>
      </x:c>
      <x:c r="E24" s="130" t="str">
        <x:v>悟空潜入洞府见尸山血海</x:v>
      </x:c>
      <x:c r="F24" s="130" t="str">
        <x:v>骷髅若岭，骸骨如林</x:v>
      </x:c>
      <x:c r="G24" s="130" t="str">
        <x:v>极端场景</x:v>
      </x:c>
      <x:c r="H24" s="130" t="str">
        <x:v>孙悟空/狮驼岭群妖</x:v>
      </x:c>
      <x:c r="I24" s="130" t="str">
        <x:v>文本以高强度视觉描写呈现系统性暴力。</x:v>
      </x:c>
      <x:c r="J24" s="130" t="str">
        <x:v>《尸山血海：狮驼岭为何不同》</x:v>
      </x:c>
      <x:c r="K24" s="130" t="str">
        <x:v>https://zh.wikisource.org/wiki/西遊記/第075回</x:v>
      </x:c>
      <x:c r="L24" s="130" t="str">
        <x:v>已核-短摘</x:v>
      </x:c>
    </x:row>
    <x:row r="25">
      <x:c r="A25" s="130" t="str">
        <x:v>S04</x:v>
      </x:c>
      <x:c r="B25" s="130" t="str">
        <x:v>狮驼岭：组织化妖怪与极端风险治理</x:v>
      </x:c>
      <x:c r="C25" s="130" t="n">
        <x:v>3</x:v>
      </x:c>
      <x:c r="D25" s="130" t="str">
        <x:v>第75回</x:v>
      </x:c>
      <x:c r="E25" s="130" t="str">
        <x:v>三魔身份列明</x:v>
      </x:c>
      <x:c r="F25" s="130" t="str">
        <x:v>青毛狮子怪</x:v>
      </x:c>
      <x:c r="G25" s="130" t="str">
        <x:v>后台对象</x:v>
      </x:c>
      <x:c r="H25" s="130" t="str">
        <x:v>青狮精/文殊</x:v>
      </x:c>
      <x:c r="I25" s="130" t="str">
        <x:v>青狮是后台坐骑型妖怪的一环。</x:v>
      </x:c>
      <x:c r="J25" s="130" t="str">
        <x:v>《青狮、白象、大鹏：后台边界在哪里》</x:v>
      </x:c>
      <x:c r="K25" s="130" t="str">
        <x:v>https://zh.wikisource.org/wiki/西遊記/第075回</x:v>
      </x:c>
      <x:c r="L25" s="130" t="str">
        <x:v>已核-短摘</x:v>
      </x:c>
    </x:row>
    <x:row r="26">
      <x:c r="A26" s="130" t="str">
        <x:v>S04</x:v>
      </x:c>
      <x:c r="B26" s="130" t="str">
        <x:v>狮驼岭：组织化妖怪与极端风险治理</x:v>
      </x:c>
      <x:c r="C26" s="130" t="n">
        <x:v>4</x:v>
      </x:c>
      <x:c r="D26" s="130" t="str">
        <x:v>第75回</x:v>
      </x:c>
      <x:c r="E26" s="130" t="str">
        <x:v>三魔身份列明</x:v>
      </x:c>
      <x:c r="F26" s="130" t="str">
        <x:v>黄牙老象</x:v>
      </x:c>
      <x:c r="G26" s="130" t="str">
        <x:v>后台对象</x:v>
      </x:c>
      <x:c r="H26" s="130" t="str">
        <x:v>白象精/普贤</x:v>
      </x:c>
      <x:c r="I26" s="130" t="str">
        <x:v>白象进一步构成坐骑后台联动。</x:v>
      </x:c>
      <x:c r="J26" s="130" t="str">
        <x:v>《后台不是免责牌》</x:v>
      </x:c>
      <x:c r="K26" s="130" t="str">
        <x:v>https://zh.wikisource.org/wiki/西遊記/第075回</x:v>
      </x:c>
      <x:c r="L26" s="130" t="str">
        <x:v>已核-短摘</x:v>
      </x:c>
    </x:row>
    <x:row r="27">
      <x:c r="A27" s="130" t="str">
        <x:v>S04</x:v>
      </x:c>
      <x:c r="B27" s="130" t="str">
        <x:v>狮驼岭：组织化妖怪与极端风险治理</x:v>
      </x:c>
      <x:c r="C27" s="130" t="n">
        <x:v>5</x:v>
      </x:c>
      <x:c r="D27" s="130" t="str">
        <x:v>第75回</x:v>
      </x:c>
      <x:c r="E27" s="130" t="str">
        <x:v>大鹏身份列明</x:v>
      </x:c>
      <x:c r="F27" s="130" t="str">
        <x:v>云程九万的大鹏雕</x:v>
      </x:c>
      <x:c r="G27" s="130" t="str">
        <x:v>高阶后台</x:v>
      </x:c>
      <x:c r="H27" s="130" t="str">
        <x:v>大鹏/如来系统</x:v>
      </x:c>
      <x:c r="I27" s="130" t="str">
        <x:v>大鹏的速度与身份使狮驼岭风险升至最高层。</x:v>
      </x:c>
      <x:c r="J27" s="130" t="str">
        <x:v>《大鹏为何必须由如来亲自收束》</x:v>
      </x:c>
      <x:c r="K27" s="130" t="str">
        <x:v>https://zh.wikisource.org/wiki/西遊記/第075回</x:v>
      </x:c>
      <x:c r="L27" s="130" t="str">
        <x:v>已核-短摘</x:v>
      </x:c>
    </x:row>
    <x:row r="28">
      <x:c r="A28" s="130" t="str">
        <x:v>S04</x:v>
      </x:c>
      <x:c r="B28" s="130" t="str">
        <x:v>狮驼岭：组织化妖怪与极端风险治理</x:v>
      </x:c>
      <x:c r="C28" s="130" t="n">
        <x:v>6</x:v>
      </x:c>
      <x:c r="D28" s="130" t="str">
        <x:v>第76回</x:v>
      </x:c>
      <x:c r="E28" s="130" t="str">
        <x:v>群妖列阵</x:v>
      </x:c>
      <x:c r="F28" s="130" t="str">
        <x:v>三万多精</x:v>
      </x:c>
      <x:c r="G28" s="130" t="str">
        <x:v>组织规模</x:v>
      </x:c>
      <x:c r="H28" s="130" t="str">
        <x:v>三魔/群妖</x:v>
      </x:c>
      <x:c r="I28" s="130" t="str">
        <x:v>狮驼岭是集团化、军阵化、区域化妖怪组织。</x:v>
      </x:c>
      <x:c r="J28" s="130" t="str">
        <x:v>《三万多精：妖怪也能形成组织》</x:v>
      </x:c>
      <x:c r="K28" s="130" t="str">
        <x:v>https://zh.wikisource.org/wiki/西遊記/第076回</x:v>
      </x:c>
      <x:c r="L28" s="130" t="str">
        <x:v>已核-短摘</x:v>
      </x:c>
    </x:row>
    <x:row r="29">
      <x:c r="A29" s="130" t="str">
        <x:v>S04</x:v>
      </x:c>
      <x:c r="B29" s="130" t="str">
        <x:v>狮驼岭：组织化妖怪与极端风险治理</x:v>
      </x:c>
      <x:c r="C29" s="130" t="n">
        <x:v>7</x:v>
      </x:c>
      <x:c r="D29" s="130" t="str">
        <x:v>第77回</x:v>
      </x:c>
      <x:c r="E29" s="130" t="str">
        <x:v>悟空独力难撑</x:v>
      </x:c>
      <x:c r="F29" s="130" t="str">
        <x:v>双拳难敌四手</x:v>
      </x:c>
      <x:c r="G29" s="130" t="str">
        <x:v>能力边界</x:v>
      </x:c>
      <x:c r="H29" s="130" t="str">
        <x:v>孙悟空/三魔</x:v>
      </x:c>
      <x:c r="I29" s="130" t="str">
        <x:v>再强的个体能力也有组织化风险面前的边界。</x:v>
      </x:c>
      <x:c r="J29" s="130" t="str">
        <x:v>《双拳难敌四手：悟空也有能力边界》</x:v>
      </x:c>
      <x:c r="K29" s="130" t="str">
        <x:v>https://zh.wikisource.org/wiki/西遊記/第077回</x:v>
      </x:c>
      <x:c r="L29" s="130" t="str">
        <x:v>已核-短摘</x:v>
      </x:c>
    </x:row>
    <x:row r="30">
      <x:c r="A30" s="130" t="str">
        <x:v>S04</x:v>
      </x:c>
      <x:c r="B30" s="130" t="str">
        <x:v>狮驼岭：组织化妖怪与极端风险治理</x:v>
      </x:c>
      <x:c r="C30" s="130" t="n">
        <x:v>8</x:v>
      </x:c>
      <x:c r="D30" s="130" t="str">
        <x:v>第77回</x:v>
      </x:c>
      <x:c r="E30" s="130" t="str">
        <x:v>大鹏速度压制悟空</x:v>
      </x:c>
      <x:c r="F30" s="130" t="str">
        <x:v>一翅就有九万里</x:v>
      </x:c>
      <x:c r="G30" s="130" t="str">
        <x:v>极限压制</x:v>
      </x:c>
      <x:c r="H30" s="130" t="str">
        <x:v>大鹏/孙悟空</x:v>
      </x:c>
      <x:c r="I30" s="130" t="str">
        <x:v>大鹏几乎抵消筋斗云优势，形成极端能力压制。</x:v>
      </x:c>
      <x:c r="J30" s="130" t="str">
        <x:v>《一翅九万里：当对手克制核心优势》</x:v>
      </x:c>
      <x:c r="K30" s="130" t="str">
        <x:v>https://zh.wikisource.org/wiki/西遊記/第077回</x:v>
      </x:c>
      <x:c r="L30" s="130" t="str">
        <x:v>已核-短摘</x:v>
      </x:c>
    </x:row>
    <x:row r="31">
      <x:c r="A31" s="130"/>
      <x:c r="B31" s="130"/>
      <x:c r="C31" s="130"/>
      <x:c r="D31" s="130"/>
      <x:c r="E31" s="130"/>
      <x:c r="F31" s="130"/>
      <x:c r="G31" s="130"/>
      <x:c r="H31" s="130"/>
      <x:c r="I31" s="130"/>
      <x:c r="J31" s="130"/>
      <x:c r="K31" s="130"/>
      <x:c r="L31" s="130"/>
    </x:row>
    <x:row r="32">
      <x:c r="A32" s="130"/>
      <x:c r="B32" s="130"/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</x:row>
    <x:row r="33">
      <x:c r="A33" s="130"/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130"/>
      <x:c r="L33" s="130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</x:row>
  </x:sheetData>
  <x:conditionalFormatting sqref="L2:L33">
    <x:cfRule type="expression" dxfId="5" priority="1">
      <x:formula>LEFT(L2,2)="已核"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2889b09b314d4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2" hidden="0" customWidth="1"/>
    <x:col min="5" max="5" width="22" hidden="0" customWidth="1"/>
    <x:col min="6" max="6" width="12" hidden="0" customWidth="1"/>
    <x:col min="7" max="7" width="28" hidden="0" customWidth="1"/>
    <x:col min="8" max="8" width="18" hidden="0" customWidth="1"/>
  </x:cols>
  <x:sheetData>
    <x:row r="1">
      <x:c r="A1" s="129" t="str">
        <x:v>《再读西游》V2.2 专题原文摘录补强看板</x:v>
      </x:c>
      <x:c r="B1" s="129" t="str"/>
      <x:c r="C1" s="129" t="str"/>
      <x:c r="D1" s="129" t="str"/>
      <x:c r="E1" s="129" t="str"/>
      <x:c r="F1" s="129" t="str"/>
      <x:c r="G1" s="129" t="str"/>
      <x:c r="H1" s="129" t="str"/>
    </x:row>
    <x:row r="2">
      <x:c r="A2" s="130" t="str">
        <x:v>更新时间</x:v>
      </x:c>
      <x:c r="B2" s="130" t="str">
        <x:v>2026-06-14</x:v>
      </x:c>
      <x:c r="C2" s="130" t="str">
        <x:v>版本</x:v>
      </x:c>
      <x:c r="D2" s="130" t="str">
        <x:v>V2.2</x:v>
      </x:c>
      <x:c r="E2" s="130" t="str">
        <x:v>定位</x:v>
      </x:c>
      <x:c r="F2" s="130" t="str">
        <x:v>专题证据链补强</x:v>
      </x:c>
      <x:c r="G2" s="130" t="str"/>
      <x:c r="H2" s="130" t="str"/>
    </x:row>
    <x:row r="3">
      <x:c r="A3" s="133" t="str">
        <x:v>指标</x:v>
      </x:c>
      <x:c r="B3" s="133" t="str">
        <x:v>数值</x:v>
      </x:c>
      <x:c r="C3" s="133" t="str">
        <x:v>说明</x:v>
      </x:c>
      <x:c r="D3" s="133" t="str"/>
      <x:c r="E3" s="133" t="str">
        <x:v>专题</x:v>
      </x:c>
      <x:c r="F3" s="133" t="str">
        <x:v>新增摘录数</x:v>
      </x:c>
      <x:c r="G3" s="133" t="str">
        <x:v>核心价值</x:v>
      </x:c>
      <x:c r="H3" s="133" t="str">
        <x:v>下一步</x:v>
      </x:c>
    </x:row>
    <x:row r="4">
      <x:c r="A4" s="130" t="str">
        <x:v>补强专题数</x:v>
      </x:c>
      <x:c r="B4" s="130" t="n">
        <x:f>COUNTA(UNIQUE('13_专题摘录补强'!B2:B200))</x:f>
        <x:v>4</x:v>
      </x:c>
      <x:c r="C4" s="130" t="str">
        <x:v>三打白骨精、真假美猴王、小雷音寺、狮驼岭</x:v>
      </x:c>
      <x:c r="D4" s="130" t="str"/>
      <x:c r="E4" s="130" t="str">
        <x:v>三打白骨精</x:v>
      </x:c>
      <x:c r="F4" s="130" t="n">
        <x:f>COUNTIF('13_专题摘录补强'!B:B,"三打白骨精：专业判断与领导误判")</x:f>
        <x:v>7</x:v>
      </x:c>
      <x:c r="G4" s="130" t="str">
        <x:v>专业判断/领导误判/内部噪声</x:v>
      </x:c>
      <x:c r="H4" s="130" t="str">
        <x:v>可先写专题一</x:v>
      </x:c>
    </x:row>
    <x:row r="5">
      <x:c r="A5" s="130" t="str">
        <x:v>新增专题摘录</x:v>
      </x:c>
      <x:c r="B5" s="130" t="n">
        <x:f>COUNTA('13_专题摘录补强'!A2:A200)</x:f>
        <x:v>29</x:v>
      </x:c>
      <x:c r="C5" s="130" t="str">
        <x:v>以短摘为主，便于引用和二次校核</x:v>
      </x:c>
      <x:c r="D5" s="130" t="str"/>
      <x:c r="E5" s="130" t="str">
        <x:v>真假美猴王</x:v>
      </x:c>
      <x:c r="F5" s="130" t="n">
        <x:f>COUNTIF('13_专题摘录补强'!B:B,"真假美猴王：二心与身份复制")</x:f>
        <x:v>7</x:v>
      </x:c>
      <x:c r="G5" s="130" t="str">
        <x:v>身份复制/二心/终裁机制</x:v>
      </x:c>
      <x:c r="H5" s="130" t="str">
        <x:v>可做心性专题</x:v>
      </x:c>
    </x:row>
    <x:row r="6">
      <x:c r="A6" s="130" t="str">
        <x:v>已核短摘</x:v>
      </x:c>
      <x:c r="B6" s="130" t="n">
        <x:f>COUNTIF('13_专题摘录补强'!L:L,"已核-短摘")</x:f>
        <x:v>26</x:v>
      </x:c>
      <x:c r="C6" s="130" t="str">
        <x:v>已经按维基文库回目页面定位</x:v>
      </x:c>
      <x:c r="D6" s="130" t="str"/>
      <x:c r="E6" s="130" t="str">
        <x:v>小雷音寺</x:v>
      </x:c>
      <x:c r="F6" s="130" t="n">
        <x:f>COUNTIF('13_专题摘录补强'!B:B,"小雷音寺：假权威与成果质量风险")</x:f>
        <x:v>7</x:v>
      </x:c>
      <x:c r="G6" s="130" t="str">
        <x:v>假权威/法宝压制/后台收束</x:v>
      </x:c>
      <x:c r="H6" s="130" t="str">
        <x:v>可做假权威专题</x:v>
      </x:c>
    </x:row>
    <x:row r="7">
      <x:c r="A7" s="130" t="str">
        <x:v>已核回目</x:v>
      </x:c>
      <x:c r="B7" s="130" t="n">
        <x:f>COUNTIF('13_专题摘录补强'!L:L,"已核-回目")</x:f>
        <x:v>3</x:v>
      </x:c>
      <x:c r="C7" s="130" t="str">
        <x:v>用于回目主题与结构判断</x:v>
      </x:c>
      <x:c r="D7" s="130" t="str"/>
      <x:c r="E7" s="130" t="str">
        <x:v>狮驼岭</x:v>
      </x:c>
      <x:c r="F7" s="130" t="n">
        <x:f>COUNTIF('13_专题摘录补强'!B:B,"狮驼岭：组织化妖怪与极端风险治理")</x:f>
        <x:v>8</x:v>
      </x:c>
      <x:c r="G7" s="130" t="str">
        <x:v>极端风险/组织化妖怪/最高收束</x:v>
      </x:c>
      <x:c r="H7" s="130" t="str">
        <x:v>可做后台妖怪专题</x:v>
      </x:c>
    </x:row>
    <x:row r="8">
      <x:c r="A8" s="130" t="str">
        <x:v>下一步建议</x:v>
      </x:c>
      <x:c r="B8" s="130" t="str">
        <x:v>V2.3</x:v>
      </x:c>
      <x:c r="C8" s="130" t="str">
        <x:v>做总图谱：人物关系图、后台妖怪矩阵、八十一难主题热力图</x:v>
      </x:c>
      <x:c r="D8" s="130" t="str"/>
      <x:c r="E8" s="130" t="str"/>
      <x:c r="F8" s="130" t="str"/>
      <x:c r="G8" s="130" t="str"/>
      <x:c r="H8" s="130" t="str"/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bc9c2ebe2334c4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6" hidden="0" customWidth="1"/>
    <x:col min="5" max="5" width="36" hidden="0" customWidth="1"/>
    <x:col min="7" max="7" width="12" hidden="0" customWidth="1"/>
    <x:col min="8" max="8" width="15" hidden="0" customWidth="1"/>
    <x:col min="9" max="9" width="18" hidden="0" customWidth="1"/>
    <x:col min="10" max="10" width="15" hidden="0" customWidth="1"/>
    <x:col min="11" max="11" width="12" hidden="0" customWidth="1"/>
    <x:col min="12" max="12" width="16" hidden="0" customWidth="1"/>
    <x:col min="13" max="13" width="16" hidden="0" customWidth="1"/>
    <x:col min="14" max="14" width="18" hidden="0" customWidth="1"/>
    <x:col min="15" max="15" width="16" hidden="0" customWidth="1"/>
    <x:col min="16" max="16" width="36" hidden="0" customWidth="1"/>
  </x:cols>
  <x:sheetData>
    <x:row r="1" ht="28" customHeight="1">
      <x:c r="A1" s="153" t="str">
        <x:v>《再读西游》V2.3 总图谱数据（人物—系统—关系）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</x:row>
    <x:row r="2" ht="34" customHeight="1">
      <x:c r="A2" s="142" t="str">
        <x:v>说明：本页不是直接画网络图，而是提供节点表、边表和系统交叉表，可导入 Cytoscape / Gephi / ECharts / HTML PWA 生成可交互图谱。</x:v>
      </x:c>
      <x:c r="B2" s="142"/>
      <x:c r="C2" s="142"/>
      <x:c r="D2" s="142"/>
      <x:c r="E2" s="142"/>
      <x:c r="F2" s="142"/>
      <x:c r="G2" s="142"/>
      <x:c r="H2" s="142"/>
      <x:c r="I2" s="142"/>
      <x:c r="J2" s="142"/>
      <x:c r="K2" s="24"/>
      <x:c r="L2" s="24"/>
      <x:c r="M2" s="24"/>
      <x:c r="N2" s="24"/>
      <x:c r="O2" s="24"/>
      <x:c r="P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>
      <x:c r="A4" s="147" t="str">
        <x:v>一、节点表（Top 80）</x:v>
      </x:c>
      <x:c r="B4" s="147"/>
      <x:c r="C4" s="147"/>
      <x:c r="D4" s="147"/>
      <x:c r="E4" s="147"/>
      <x:c r="F4" s="24"/>
      <x:c r="G4" s="147" t="str">
        <x:v>二、边表（人物关系边，可导图谱）</x:v>
      </x:c>
      <x:c r="H4" s="147"/>
      <x:c r="I4" s="147"/>
      <x:c r="J4" s="147"/>
      <x:c r="K4" s="147"/>
      <x:c r="L4" s="147"/>
      <x:c r="M4" s="147"/>
      <x:c r="N4" s="147"/>
      <x:c r="O4" s="147"/>
      <x:c r="P4" s="147"/>
    </x:row>
    <x:row r="5">
      <x:c r="A5" s="152" t="str">
        <x:v>节点</x:v>
      </x:c>
      <x:c r="B5" s="152" t="str">
        <x:v>所属系统</x:v>
      </x:c>
      <x:c r="C5" s="152" t="str">
        <x:v>关系度数</x:v>
      </x:c>
      <x:c r="D5" s="152" t="str">
        <x:v>图谱层级建议</x:v>
      </x:c>
      <x:c r="E5" s="152" t="str">
        <x:v>备注</x:v>
      </x:c>
      <x:c r="F5" s="24"/>
      <x:c r="G5" s="152" t="str">
        <x:v>编号</x:v>
      </x:c>
      <x:c r="H5" s="152" t="str">
        <x:v>起点</x:v>
      </x:c>
      <x:c r="I5" s="152" t="str">
        <x:v>关系类型</x:v>
      </x:c>
      <x:c r="J5" s="152" t="str">
        <x:v>终点</x:v>
      </x:c>
      <x:c r="K5" s="152" t="str">
        <x:v>回次</x:v>
      </x:c>
      <x:c r="L5" s="152" t="str">
        <x:v>起点系统</x:v>
      </x:c>
      <x:c r="M5" s="152" t="str">
        <x:v>终点系统</x:v>
      </x:c>
      <x:c r="N5" s="152" t="str">
        <x:v>边层级</x:v>
      </x:c>
      <x:c r="O5" s="152" t="str">
        <x:v>证据状态</x:v>
      </x:c>
      <x:c r="P5" s="152" t="str">
        <x:v>来源URL</x:v>
      </x:c>
    </x:row>
    <x:row r="6">
      <x:c r="A6" s="24" t="str">
        <x:v>孙悟空</x:v>
      </x:c>
      <x:c r="B6" s="24" t="str">
        <x:v>取经团队</x:v>
      </x:c>
      <x:c r="C6" s="24" t="n">
        <x:v>48</x:v>
      </x:c>
      <x:c r="D6" s="24" t="str">
        <x:v>核心枢纽</x:v>
      </x:c>
      <x:c r="E6" s="24" t="str">
        <x:v>由人物关系表自动汇总；度数=作为关系A/B出现次数。</x:v>
      </x:c>
      <x:c r="F6" s="24"/>
      <x:c r="G6" s="24" t="str">
        <x:v>R001</x:v>
      </x:c>
      <x:c r="H6" s="24" t="str">
        <x:v>如来</x:v>
      </x:c>
      <x:c r="I6" s="24" t="str">
        <x:v>授权/使命发布</x:v>
      </x:c>
      <x:c r="J6" s="24" t="str">
        <x:v>观音</x:v>
      </x:c>
      <x:c r="K6" s="24" t="str">
        <x:v>第8回</x:v>
      </x:c>
      <x:c r="L6" s="24" t="str">
        <x:v>灵山系统</x:v>
      </x:c>
      <x:c r="M6" s="24" t="str">
        <x:v>灵山系统</x:v>
      </x:c>
      <x:c r="N6" s="24" t="str">
        <x:v>权威→执行</x:v>
      </x:c>
      <x:c r="O6" s="24" t="str">
        <x:v>待校核原文</x:v>
      </x:c>
      <x:c r="P6" s="24" t="str">
        <x:v>https://zh.wikisource.org/wiki/%E8%A5%BF%E9%81%8A%E8%A8%98/%E7%AC%AC%E5%85%AB%E5%9B%9E</x:v>
      </x:c>
    </x:row>
    <x:row r="7">
      <x:c r="A7" s="24" t="str">
        <x:v>唐僧</x:v>
      </x:c>
      <x:c r="B7" s="24" t="str">
        <x:v>取经团队</x:v>
      </x:c>
      <x:c r="C7" s="24" t="n">
        <x:v>27</x:v>
      </x:c>
      <x:c r="D7" s="24" t="str">
        <x:v>核心枢纽</x:v>
      </x:c>
      <x:c r="E7" s="24" t="str">
        <x:v>由人物关系表自动汇总；度数=作为关系A/B出现次数。</x:v>
      </x:c>
      <x:c r="F7" s="24"/>
      <x:c r="G7" s="24" t="str">
        <x:v>R002</x:v>
      </x:c>
      <x:c r="H7" s="24" t="str">
        <x:v>观音</x:v>
      </x:c>
      <x:c r="I7" s="24" t="str">
        <x:v>点化/预设护法</x:v>
      </x:c>
      <x:c r="J7" s="24" t="str">
        <x:v>沙悟净</x:v>
      </x:c>
      <x:c r="K7" s="24" t="str">
        <x:v>第8回</x:v>
      </x:c>
      <x:c r="L7" s="24" t="str">
        <x:v>灵山系统</x:v>
      </x:c>
      <x:c r="M7" s="24" t="str">
        <x:v>贬谪神将</x:v>
      </x:c>
      <x:c r="N7" s="24" t="str">
        <x:v>点化→护法预备</x:v>
      </x:c>
      <x:c r="O7" s="24" t="str">
        <x:v>待校核原文</x:v>
      </x:c>
      <x:c r="P7" s="24" t="str">
        <x:v>https://zh.wikisource.org/wiki/%E8%A5%BF%E9%81%8A%E8%A8%98/%E7%AC%AC%E5%85%AB%E5%9B%9E</x:v>
      </x:c>
    </x:row>
    <x:row r="8">
      <x:c r="A8" s="24" t="str">
        <x:v>观音</x:v>
      </x:c>
      <x:c r="B8" s="24" t="str">
        <x:v>灵山系统</x:v>
      </x:c>
      <x:c r="C8" s="24" t="n">
        <x:v>15</x:v>
      </x:c>
      <x:c r="D8" s="24" t="str">
        <x:v>核心枢纽</x:v>
      </x:c>
      <x:c r="E8" s="24" t="str">
        <x:v>由人物关系表自动汇总；度数=作为关系A/B出现次数。</x:v>
      </x:c>
      <x:c r="F8" s="24"/>
      <x:c r="G8" s="24" t="str">
        <x:v>R003</x:v>
      </x:c>
      <x:c r="H8" s="24" t="str">
        <x:v>观音</x:v>
      </x:c>
      <x:c r="I8" s="24" t="str">
        <x:v>点化/预设护法</x:v>
      </x:c>
      <x:c r="J8" s="24" t="str">
        <x:v>猪刚鬣</x:v>
      </x:c>
      <x:c r="K8" s="24" t="str">
        <x:v>第8回</x:v>
      </x:c>
      <x:c r="L8" s="24" t="str">
        <x:v>灵山系统</x:v>
      </x:c>
      <x:c r="M8" s="24" t="str">
        <x:v>贬谪天将</x:v>
      </x:c>
      <x:c r="N8" s="24" t="str">
        <x:v>点化→护法预备</x:v>
      </x:c>
      <x:c r="O8" s="24" t="str">
        <x:v>待校核原文</x:v>
      </x:c>
      <x:c r="P8" s="24" t="str">
        <x:v>https://zh.wikisource.org/wiki/%E8%A5%BF%E9%81%8A%E8%A8%98/%E7%AC%AC%E5%85%AB%E5%9B%9E</x:v>
      </x:c>
    </x:row>
    <x:row r="9">
      <x:c r="A9" s="24" t="str">
        <x:v>猪八戒</x:v>
      </x:c>
      <x:c r="B9" s="24" t="str">
        <x:v>取经团队</x:v>
      </x:c>
      <x:c r="C9" s="24" t="n">
        <x:v>14</x:v>
      </x:c>
      <x:c r="D9" s="24" t="str">
        <x:v>关键节点</x:v>
      </x:c>
      <x:c r="E9" s="24" t="str">
        <x:v>由人物关系表自动汇总；度数=作为关系A/B出现次数。</x:v>
      </x:c>
      <x:c r="F9" s="24"/>
      <x:c r="G9" s="24" t="str">
        <x:v>R004</x:v>
      </x:c>
      <x:c r="H9" s="24" t="str">
        <x:v>观音</x:v>
      </x:c>
      <x:c r="I9" s="24" t="str">
        <x:v>点化/预设护法</x:v>
      </x:c>
      <x:c r="J9" s="24" t="str">
        <x:v>小白龙</x:v>
      </x:c>
      <x:c r="K9" s="24" t="str">
        <x:v>第8回</x:v>
      </x:c>
      <x:c r="L9" s="24" t="str">
        <x:v>灵山系统</x:v>
      </x:c>
      <x:c r="M9" s="24" t="str">
        <x:v>龙族罪人</x:v>
      </x:c>
      <x:c r="N9" s="24" t="str">
        <x:v>点化→护法预备</x:v>
      </x:c>
      <x:c r="O9" s="24" t="str">
        <x:v>待校核原文</x:v>
      </x:c>
      <x:c r="P9" s="24" t="str">
        <x:v>https://zh.wikisource.org/wiki/%E8%A5%BF%E9%81%8A%E8%A8%98/%E7%AC%AC%E5%85%AB%E5%9B%9E</x:v>
      </x:c>
    </x:row>
    <x:row r="10">
      <x:c r="A10" s="24" t="str">
        <x:v>如来</x:v>
      </x:c>
      <x:c r="B10" s="24" t="str">
        <x:v>灵山系统</x:v>
      </x:c>
      <x:c r="C10" s="24" t="n">
        <x:v>7</x:v>
      </x:c>
      <x:c r="D10" s="24" t="str">
        <x:v>关键节点</x:v>
      </x:c>
      <x:c r="E10" s="24" t="str">
        <x:v>由人物关系表自动汇总；度数=作为关系A/B出现次数。</x:v>
      </x:c>
      <x:c r="F10" s="24"/>
      <x:c r="G10" s="24" t="str">
        <x:v>R005</x:v>
      </x:c>
      <x:c r="H10" s="24" t="str">
        <x:v>观音</x:v>
      </x:c>
      <x:c r="I10" s="24" t="str">
        <x:v>转化伏笔</x:v>
      </x:c>
      <x:c r="J10" s="24" t="str">
        <x:v>孙悟空</x:v>
      </x:c>
      <x:c r="K10" s="24" t="str">
        <x:v>第8回</x:v>
      </x:c>
      <x:c r="L10" s="24" t="str">
        <x:v>灵山系统</x:v>
      </x:c>
      <x:c r="M10" s="24" t="str">
        <x:v>心猿/被压者</x:v>
      </x:c>
      <x:c r="N10" s="24" t="str">
        <x:v>点化→转化</x:v>
      </x:c>
      <x:c r="O10" s="24" t="str">
        <x:v>待校核原文</x:v>
      </x:c>
      <x:c r="P10" s="24" t="str">
        <x:v>https://zh.wikisource.org/wiki/%E8%A5%BF%E9%81%8A%E8%A8%98/%E7%AC%AC%E5%85%AB%E5%9B%9E</x:v>
      </x:c>
    </x:row>
    <x:row r="11">
      <x:c r="A11" s="24" t="str">
        <x:v>唐僧师徒</x:v>
      </x:c>
      <x:c r="B11" s="24" t="str">
        <x:v>取经团队</x:v>
      </x:c>
      <x:c r="C11" s="24" t="n">
        <x:v>6</x:v>
      </x:c>
      <x:c r="D11" s="24" t="str">
        <x:v>重要节点</x:v>
      </x:c>
      <x:c r="E11" s="24" t="str">
        <x:v>由人物关系表自动汇总；度数=作为关系A/B出现次数。</x:v>
      </x:c>
      <x:c r="F11" s="24"/>
      <x:c r="G11" s="24" t="str">
        <x:v>R006</x:v>
      </x:c>
      <x:c r="H11" s="24" t="str">
        <x:v>陈光蕊</x:v>
      </x:c>
      <x:c r="I11" s="24" t="str">
        <x:v>父子/身世因果</x:v>
      </x:c>
      <x:c r="J11" s="24" t="str">
        <x:v>玄奘/唐僧</x:v>
      </x:c>
      <x:c r="K11" s="24" t="str">
        <x:v>第9回</x:v>
      </x:c>
      <x:c r="L11" s="24" t="str">
        <x:v>人间士人</x:v>
      </x:c>
      <x:c r="M11" s="24" t="str">
        <x:v>佛门僧人</x:v>
      </x:c>
      <x:c r="N11" s="24" t="str">
        <x:v>亲缘→身份</x:v>
      </x:c>
      <x:c r="O11" s="24" t="str">
        <x:v>待校核原文</x:v>
      </x:c>
      <x:c r="P11" s="24" t="str">
        <x:v>https://zh.wikisource.org/wiki/%E8%A5%BF%E9%81%8A%E8%A8%98/%E7%AC%AC%E4%B9%9D%E5%9B%9E</x:v>
      </x:c>
    </x:row>
    <x:row r="12">
      <x:c r="A12" s="24" t="str">
        <x:v>红孩儿</x:v>
      </x:c>
      <x:c r="B12" s="24" t="str">
        <x:v>火云洞/妖族家族</x:v>
      </x:c>
      <x:c r="C12" s="24" t="n">
        <x:v>5</x:v>
      </x:c>
      <x:c r="D12" s="24" t="str">
        <x:v>重要节点</x:v>
      </x:c>
      <x:c r="E12" s="24" t="str">
        <x:v>由人物关系表自动汇总；度数=作为关系A/B出现次数。</x:v>
      </x:c>
      <x:c r="F12" s="24"/>
      <x:c r="G12" s="24" t="str">
        <x:v>R007</x:v>
      </x:c>
      <x:c r="H12" s="24" t="str">
        <x:v>殷温娇</x:v>
      </x:c>
      <x:c r="I12" s="24" t="str">
        <x:v>母子/托孤</x:v>
      </x:c>
      <x:c r="J12" s="24" t="str">
        <x:v>玄奘/唐僧</x:v>
      </x:c>
      <x:c r="K12" s="24" t="str">
        <x:v>第9回</x:v>
      </x:c>
      <x:c r="L12" s="24" t="str">
        <x:v>人间官眷</x:v>
      </x:c>
      <x:c r="M12" s="24" t="str">
        <x:v>佛门僧人</x:v>
      </x:c>
      <x:c r="N12" s="24" t="str">
        <x:v>亲缘→身份</x:v>
      </x:c>
      <x:c r="O12" s="24" t="str">
        <x:v>待校核原文</x:v>
      </x:c>
      <x:c r="P12" s="24" t="str">
        <x:v>https://zh.wikisource.org/wiki/%E8%A5%BF%E9%81%8A%E8%A8%98/%E7%AC%AC%E4%B9%9D%E5%9B%9E</x:v>
      </x:c>
    </x:row>
    <x:row r="13">
      <x:c r="A13" s="24" t="str">
        <x:v>牛魔王</x:v>
      </x:c>
      <x:c r="B13" s="24" t="str">
        <x:v>牛魔王家族</x:v>
      </x:c>
      <x:c r="C13" s="24" t="n">
        <x:v>5</x:v>
      </x:c>
      <x:c r="D13" s="24" t="str">
        <x:v>重要节点</x:v>
      </x:c>
      <x:c r="E13" s="24" t="str">
        <x:v>由人物关系表自动汇总；度数=作为关系A/B出现次数。</x:v>
      </x:c>
      <x:c r="F13" s="24"/>
      <x:c r="G13" s="24" t="str">
        <x:v>R008</x:v>
      </x:c>
      <x:c r="H13" s="24" t="str">
        <x:v>刘洪</x:v>
      </x:c>
      <x:c r="I13" s="24" t="str">
        <x:v>加害/冒名</x:v>
      </x:c>
      <x:c r="J13" s="24" t="str">
        <x:v>陈光蕊</x:v>
      </x:c>
      <x:c r="K13" s="24" t="str">
        <x:v>第9回</x:v>
      </x:c>
      <x:c r="L13" s="24" t="str">
        <x:v>人间恶人</x:v>
      </x:c>
      <x:c r="M13" s="24" t="str">
        <x:v>人间士人</x:v>
      </x:c>
      <x:c r="N13" s="24" t="str">
        <x:v>冲突→因果</x:v>
      </x:c>
      <x:c r="O13" s="24" t="str">
        <x:v>待校核原文</x:v>
      </x:c>
      <x:c r="P13" s="24" t="str">
        <x:v>https://zh.wikisource.org/wiki/%E8%A5%BF%E9%81%8A%E8%A8%98/%E7%AC%AC%E4%B9%9D%E5%9B%9E</x:v>
      </x:c>
    </x:row>
    <x:row r="14">
      <x:c r="A14" s="24" t="str">
        <x:v>地涌夫人</x:v>
      </x:c>
      <x:c r="B14" s="24" t="str">
        <x:v>无底洞妖怪</x:v>
      </x:c>
      <x:c r="C14" s="24" t="n">
        <x:v>5</x:v>
      </x:c>
      <x:c r="D14" s="24" t="str">
        <x:v>重要节点</x:v>
      </x:c>
      <x:c r="E14" s="24" t="str">
        <x:v>由人物关系表自动汇总；度数=作为关系A/B出现次数。</x:v>
      </x:c>
      <x:c r="F14" s="24"/>
      <x:c r="G14" s="24" t="str">
        <x:v>R009</x:v>
      </x:c>
      <x:c r="H14" s="24" t="str">
        <x:v>泾河龙王</x:v>
      </x:c>
      <x:c r="I14" s="24" t="str">
        <x:v>争胜/犯律</x:v>
      </x:c>
      <x:c r="J14" s="24" t="str">
        <x:v>袁守诚</x:v>
      </x:c>
      <x:c r="K14" s="24" t="str">
        <x:v>第10回</x:v>
      </x:c>
      <x:c r="L14" s="24" t="str">
        <x:v>龙族水府</x:v>
      </x:c>
      <x:c r="M14" s="24" t="str">
        <x:v>人间术士</x:v>
      </x:c>
      <x:c r="N14" s="24" t="str">
        <x:v>冲突→触发</x:v>
      </x:c>
      <x:c r="O14" s="24" t="str">
        <x:v>待校核原文</x:v>
      </x:c>
      <x:c r="P14" s="24" t="str">
        <x:v>https://zh.wikisource.org/wiki/%E8%A5%BF%E9%81%8A%E8%A8%98/%E7%AC%AC%E5%8D%81%E5%9B%9E</x:v>
      </x:c>
    </x:row>
    <x:row r="15">
      <x:c r="A15" s="24" t="str">
        <x:v>沙悟净</x:v>
      </x:c>
      <x:c r="B15" s="24" t="str">
        <x:v>贬谪神将</x:v>
      </x:c>
      <x:c r="C15" s="24" t="n">
        <x:v>4</x:v>
      </x:c>
      <x:c r="D15" s="24" t="str">
        <x:v>重要节点</x:v>
      </x:c>
      <x:c r="E15" s="24" t="str">
        <x:v>由人物关系表自动汇总；度数=作为关系A/B出现次数。</x:v>
      </x:c>
      <x:c r="F15" s="24"/>
      <x:c r="G15" s="24" t="str">
        <x:v>R010</x:v>
      </x:c>
      <x:c r="H15" s="24" t="str">
        <x:v>魏征</x:v>
      </x:c>
      <x:c r="I15" s="24" t="str">
        <x:v>执行天命</x:v>
      </x:c>
      <x:c r="J15" s="24" t="str">
        <x:v>泾河龙王</x:v>
      </x:c>
      <x:c r="K15" s="24" t="str">
        <x:v>第10回</x:v>
      </x:c>
      <x:c r="L15" s="24" t="str">
        <x:v>唐朝朝廷/天命执行者</x:v>
      </x:c>
      <x:c r="M15" s="24" t="str">
        <x:v>龙族水府</x:v>
      </x:c>
      <x:c r="N15" s="24" t="str">
        <x:v>制度→惩戒</x:v>
      </x:c>
      <x:c r="O15" s="24" t="str">
        <x:v>待校核原文</x:v>
      </x:c>
      <x:c r="P15" s="24" t="str">
        <x:v>https://zh.wikisource.org/wiki/%E8%A5%BF%E9%81%8A%E8%A8%98/%E7%AC%AC%E5%8D%81%E5%9B%9E</x:v>
      </x:c>
    </x:row>
    <x:row r="16">
      <x:c r="A16" s="24" t="str">
        <x:v>玄奘/唐僧</x:v>
      </x:c>
      <x:c r="B16" s="24" t="str">
        <x:v>佛门僧人</x:v>
      </x:c>
      <x:c r="C16" s="24" t="n">
        <x:v>4</x:v>
      </x:c>
      <x:c r="D16" s="24" t="str">
        <x:v>重要节点</x:v>
      </x:c>
      <x:c r="E16" s="24" t="str">
        <x:v>由人物关系表自动汇总；度数=作为关系A/B出现次数。</x:v>
      </x:c>
      <x:c r="F16" s="24"/>
      <x:c r="G16" s="24" t="str">
        <x:v>R011</x:v>
      </x:c>
      <x:c r="H16" s="24" t="str">
        <x:v>唐太宗</x:v>
      </x:c>
      <x:c r="I16" s="24" t="str">
        <x:v>冥府审验</x:v>
      </x:c>
      <x:c r="J16" s="24" t="str">
        <x:v>十殿阎王</x:v>
      </x:c>
      <x:c r="K16" s="24" t="str">
        <x:v>第11回</x:v>
      </x:c>
      <x:c r="L16" s="24" t="str">
        <x:v>人间帝王</x:v>
      </x:c>
      <x:c r="M16" s="24" t="str">
        <x:v>地府系统</x:v>
      </x:c>
      <x:c r="N16" s="24" t="str">
        <x:v>人间↔冥府</x:v>
      </x:c>
      <x:c r="O16" s="24" t="str">
        <x:v>待校核原文</x:v>
      </x:c>
      <x:c r="P16" s="24" t="str">
        <x:v>https://zh.wikisource.org/wiki/%E8%A5%BF%E9%81%8A%E8%A8%98/%E7%AC%AC%E5%8D%81%E4%B8%80%E5%9B%9E</x:v>
      </x:c>
    </x:row>
    <x:row r="17">
      <x:c r="A17" s="24" t="str">
        <x:v>太上老君</x:v>
      </x:c>
      <x:c r="B17" s="24" t="str">
        <x:v>道教仙府系统</x:v>
      </x:c>
      <x:c r="C17" s="24" t="n">
        <x:v>4</x:v>
      </x:c>
      <x:c r="D17" s="24" t="str">
        <x:v>重要节点</x:v>
      </x:c>
      <x:c r="E17" s="24" t="str">
        <x:v>由人物关系表自动汇总；度数=作为关系A/B出现次数。</x:v>
      </x:c>
      <x:c r="F17" s="24"/>
      <x:c r="G17" s="24" t="str">
        <x:v>R012</x:v>
      </x:c>
      <x:c r="H17" s="24" t="str">
        <x:v>观音</x:v>
      </x:c>
      <x:c r="I17" s="24" t="str">
        <x:v>显圣/授命</x:v>
      </x:c>
      <x:c r="J17" s="24" t="str">
        <x:v>玄奘/唐僧</x:v>
      </x:c>
      <x:c r="K17" s="24" t="str">
        <x:v>第12回</x:v>
      </x:c>
      <x:c r="L17" s="24" t="str">
        <x:v>灵山系统</x:v>
      </x:c>
      <x:c r="M17" s="24" t="str">
        <x:v>佛门僧人</x:v>
      </x:c>
      <x:c r="N17" s="24" t="str">
        <x:v>授权→责任人</x:v>
      </x:c>
      <x:c r="O17" s="24" t="str">
        <x:v>待校核原文</x:v>
      </x:c>
      <x:c r="P17" s="24" t="str">
        <x:v>https://zh.wikisource.org/wiki/%E8%A5%BF%E9%81%8A%E8%A8%98/%E7%AC%AC%E5%8D%81%E4%BA%8C%E5%9B%9E</x:v>
      </x:c>
    </x:row>
    <x:row r="18">
      <x:c r="A18" s="24" t="str">
        <x:v>铁扇公主</x:v>
      </x:c>
      <x:c r="B18" s="24" t="str">
        <x:v>牛魔王家族</x:v>
      </x:c>
      <x:c r="C18" s="24" t="n">
        <x:v>4</x:v>
      </x:c>
      <x:c r="D18" s="24" t="str">
        <x:v>重要节点</x:v>
      </x:c>
      <x:c r="E18" s="24" t="str">
        <x:v>由人物关系表自动汇总；度数=作为关系A/B出现次数。</x:v>
      </x:c>
      <x:c r="F18" s="24"/>
      <x:c r="G18" s="24" t="str">
        <x:v>R013</x:v>
      </x:c>
      <x:c r="H18" s="24" t="str">
        <x:v>唐太宗</x:v>
      </x:c>
      <x:c r="I18" s="24" t="str">
        <x:v>君王授权/结拜送行</x:v>
      </x:c>
      <x:c r="J18" s="24" t="str">
        <x:v>玄奘/唐僧</x:v>
      </x:c>
      <x:c r="K18" s="24" t="str">
        <x:v>第12回</x:v>
      </x:c>
      <x:c r="L18" s="24" t="str">
        <x:v>人间王权</x:v>
      </x:c>
      <x:c r="M18" s="24" t="str">
        <x:v>佛门僧人</x:v>
      </x:c>
      <x:c r="N18" s="24" t="str">
        <x:v>授权→责任人</x:v>
      </x:c>
      <x:c r="O18" s="24" t="str">
        <x:v>待校核原文</x:v>
      </x:c>
      <x:c r="P18" s="24" t="str">
        <x:v>https://zh.wikisource.org/wiki/%E8%A5%BF%E9%81%8A%E8%A8%98/%E7%AC%AC%E5%8D%81%E4%BA%8C%E5%9B%9E</x:v>
      </x:c>
    </x:row>
    <x:row r="19">
      <x:c r="A19" s="24" t="str">
        <x:v>三犀牛怪</x:v>
      </x:c>
      <x:c r="B19" s="24" t="str">
        <x:v>玄英洞妖怪系统</x:v>
      </x:c>
      <x:c r="C19" s="24" t="n">
        <x:v>4</x:v>
      </x:c>
      <x:c r="D19" s="24" t="str">
        <x:v>重要节点</x:v>
      </x:c>
      <x:c r="E19" s="24" t="str">
        <x:v>由人物关系表自动汇总；度数=作为关系A/B出现次数。</x:v>
      </x:c>
      <x:c r="F19" s="24"/>
      <x:c r="G19" s="24" t="str">
        <x:v>R014</x:v>
      </x:c>
      <x:c r="H19" s="24" t="str">
        <x:v>太白金星</x:v>
      </x:c>
      <x:c r="I19" s="24" t="str">
        <x:v>救援/解厄</x:v>
      </x:c>
      <x:c r="J19" s="24" t="str">
        <x:v>唐僧</x:v>
      </x:c>
      <x:c r="K19" s="24" t="str">
        <x:v>第13回</x:v>
      </x:c>
      <x:c r="L19" s="24" t="str">
        <x:v>天庭系统</x:v>
      </x:c>
      <x:c r="M19" s="24" t="str">
        <x:v>取经人</x:v>
      </x:c>
      <x:c r="N19" s="24" t="str">
        <x:v>救援→取经人</x:v>
      </x:c>
      <x:c r="O19" s="24" t="str">
        <x:v>待校核原文</x:v>
      </x:c>
      <x:c r="P19" s="24" t="str">
        <x:v>https://zh.wikisource.org/wiki/%E8%A5%BF%E9%81%8A%E8%A8%98/%E7%AC%AC%E5%8D%81%E4%B8%89%E5%9B%9E</x:v>
      </x:c>
    </x:row>
    <x:row r="20">
      <x:c r="A20" s="24" t="str">
        <x:v>唐太宗</x:v>
      </x:c>
      <x:c r="B20" s="24" t="str">
        <x:v>人间帝王</x:v>
      </x:c>
      <x:c r="C20" s="24" t="n">
        <x:v>3</x:v>
      </x:c>
      <x:c r="D20" s="24" t="str">
        <x:v>重要节点</x:v>
      </x:c>
      <x:c r="E20" s="24" t="str">
        <x:v>由人物关系表自动汇总；度数=作为关系A/B出现次数。</x:v>
      </x:c>
      <x:c r="F20" s="24"/>
      <x:c r="G20" s="24" t="str">
        <x:v>R015</x:v>
      </x:c>
      <x:c r="H20" s="24" t="str">
        <x:v>刘伯钦</x:v>
      </x:c>
      <x:c r="I20" s="24" t="str">
        <x:v>地方接应/保护</x:v>
      </x:c>
      <x:c r="J20" s="24" t="str">
        <x:v>唐僧</x:v>
      </x:c>
      <x:c r="K20" s="24" t="str">
        <x:v>第13回</x:v>
      </x:c>
      <x:c r="L20" s="24" t="str">
        <x:v>地方猎户</x:v>
      </x:c>
      <x:c r="M20" s="24" t="str">
        <x:v>取经人</x:v>
      </x:c>
      <x:c r="N20" s="24" t="str">
        <x:v>地方支持→取经人</x:v>
      </x:c>
      <x:c r="O20" s="24" t="str">
        <x:v>待校核原文</x:v>
      </x:c>
      <x:c r="P20" s="24" t="str">
        <x:v>https://zh.wikisource.org/wiki/%E8%A5%BF%E9%81%8A%E8%A8%98/%E7%AC%AC%E5%8D%81%E4%B8%89%E5%9B%9E</x:v>
      </x:c>
    </x:row>
    <x:row r="21">
      <x:c r="A21" s="24" t="str">
        <x:v>灵感大王</x:v>
      </x:c>
      <x:c r="B21" s="24" t="str">
        <x:v>观音莲池外溢</x:v>
      </x:c>
      <x:c r="C21" s="24" t="n">
        <x:v>3</x:v>
      </x:c>
      <x:c r="D21" s="24" t="str">
        <x:v>重要节点</x:v>
      </x:c>
      <x:c r="E21" s="24" t="str">
        <x:v>由人物关系表自动汇总；度数=作为关系A/B出现次数。</x:v>
      </x:c>
      <x:c r="F21" s="24"/>
      <x:c r="G21" s="24" t="str">
        <x:v>R016</x:v>
      </x:c>
      <x:c r="H21" s="24" t="str">
        <x:v>唐僧</x:v>
      </x:c>
      <x:c r="I21" s="24" t="str">
        <x:v>解救/师徒</x:v>
      </x:c>
      <x:c r="J21" s="24" t="str">
        <x:v>孙悟空</x:v>
      </x:c>
      <x:c r="K21" s="24" t="str">
        <x:v>第14回</x:v>
      </x:c>
      <x:c r="L21" s="24" t="str">
        <x:v>取经人</x:v>
      </x:c>
      <x:c r="M21" s="24" t="str">
        <x:v>心猿/护法</x:v>
      </x:c>
      <x:c r="N21" s="24" t="str">
        <x:v>师徒→团队核心</x:v>
      </x:c>
      <x:c r="O21" s="24" t="str">
        <x:v>待校核原文</x:v>
      </x:c>
      <x:c r="P21" s="24" t="str">
        <x:v>https://zh.wikisource.org/wiki/%E8%A5%BF%E9%81%8A%E8%A8%98/%E7%AC%AC%E5%8D%81%E5%9B%9B%E5%9B%9E</x:v>
      </x:c>
    </x:row>
    <x:row r="22">
      <x:c r="A22" s="24" t="str">
        <x:v>蝎子精</x:v>
      </x:c>
      <x:c r="B22" s="24" t="str">
        <x:v>妖怪系统</x:v>
      </x:c>
      <x:c r="C22" s="24" t="n">
        <x:v>3</x:v>
      </x:c>
      <x:c r="D22" s="24" t="str">
        <x:v>重要节点</x:v>
      </x:c>
      <x:c r="E22" s="24" t="str">
        <x:v>由人物关系表自动汇总；度数=作为关系A/B出现次数。</x:v>
      </x:c>
      <x:c r="F22" s="24"/>
      <x:c r="G22" s="24" t="str">
        <x:v>R017</x:v>
      </x:c>
      <x:c r="H22" s="24" t="str">
        <x:v>孙悟空</x:v>
      </x:c>
      <x:c r="I22" s="24" t="str">
        <x:v>冲突/磨合</x:v>
      </x:c>
      <x:c r="J22" s="24" t="str">
        <x:v>唐僧</x:v>
      </x:c>
      <x:c r="K22" s="24" t="str">
        <x:v>第14回</x:v>
      </x:c>
      <x:c r="L22" s="24" t="str">
        <x:v>护法</x:v>
      </x:c>
      <x:c r="M22" s="24" t="str">
        <x:v>取经人</x:v>
      </x:c>
      <x:c r="N22" s="24" t="str">
        <x:v>冲突→磨合</x:v>
      </x:c>
      <x:c r="O22" s="24" t="str">
        <x:v>待校核原文</x:v>
      </x:c>
      <x:c r="P22" s="24" t="str">
        <x:v>https://zh.wikisource.org/wiki/%E8%A5%BF%E9%81%8A%E8%A8%98/%E7%AC%AC%E5%8D%81%E5%9B%9B%E5%9B%9E</x:v>
      </x:c>
    </x:row>
    <x:row r="23">
      <x:c r="A23" s="24" t="str">
        <x:v>六耳猕猴</x:v>
      </x:c>
      <x:c r="B23" s="24" t="str">
        <x:v>心魔/异类系统</x:v>
      </x:c>
      <x:c r="C23" s="24" t="n">
        <x:v>3</x:v>
      </x:c>
      <x:c r="D23" s="24" t="str">
        <x:v>重要节点</x:v>
      </x:c>
      <x:c r="E23" s="24" t="str">
        <x:v>由人物关系表自动汇总；度数=作为关系A/B出现次数。</x:v>
      </x:c>
      <x:c r="F23" s="24"/>
      <x:c r="G23" s="24" t="str">
        <x:v>R018</x:v>
      </x:c>
      <x:c r="H23" s="24" t="str">
        <x:v>观音</x:v>
      </x:c>
      <x:c r="I23" s="24" t="str">
        <x:v>规训工具/紧箍咒</x:v>
      </x:c>
      <x:c r="J23" s="24" t="str">
        <x:v>孙悟空</x:v>
      </x:c>
      <x:c r="K23" s="24" t="str">
        <x:v>第14回</x:v>
      </x:c>
      <x:c r="L23" s="24" t="str">
        <x:v>灵山系统</x:v>
      </x:c>
      <x:c r="M23" s="24" t="str">
        <x:v>护法</x:v>
      </x:c>
      <x:c r="N23" s="24" t="str">
        <x:v>规训→护法</x:v>
      </x:c>
      <x:c r="O23" s="24" t="str">
        <x:v>待校核原文</x:v>
      </x:c>
      <x:c r="P23" s="24" t="str">
        <x:v>https://zh.wikisource.org/wiki/%E8%A5%BF%E9%81%8A%E8%A8%98/%E7%AC%AC%E5%8D%81%E5%9B%9B%E5%9B%9E</x:v>
      </x:c>
    </x:row>
    <x:row r="24">
      <x:c r="A24" s="24" t="str">
        <x:v>金圣宫娘娘</x:v>
      </x:c>
      <x:c r="B24" s="24" t="str">
        <x:v>人间后宫</x:v>
      </x:c>
      <x:c r="C24" s="24" t="n">
        <x:v>3</x:v>
      </x:c>
      <x:c r="D24" s="24" t="str">
        <x:v>重要节点</x:v>
      </x:c>
      <x:c r="E24" s="24" t="str">
        <x:v>由人物关系表自动汇总；度数=作为关系A/B出现次数。</x:v>
      </x:c>
      <x:c r="F24" s="24"/>
      <x:c r="G24" s="24" t="str">
        <x:v>R019</x:v>
      </x:c>
      <x:c r="H24" s="24" t="str">
        <x:v>观音</x:v>
      </x:c>
      <x:c r="I24" s="24" t="str">
        <x:v>点化/安置</x:v>
      </x:c>
      <x:c r="J24" s="24" t="str">
        <x:v>小白龙</x:v>
      </x:c>
      <x:c r="K24" s="24" t="str">
        <x:v>第15回</x:v>
      </x:c>
      <x:c r="L24" s="24" t="str">
        <x:v>灵山系统</x:v>
      </x:c>
      <x:c r="M24" s="24" t="str">
        <x:v>龙族/取经团队</x:v>
      </x:c>
      <x:c r="N24" s="24" t="str">
        <x:v>点化→承载</x:v>
      </x:c>
      <x:c r="O24" s="24" t="str">
        <x:v>待校核原文</x:v>
      </x:c>
      <x:c r="P24" s="24" t="str">
        <x:v>https://zh.wikisource.org/wiki/西游记/第十五回</x:v>
      </x:c>
    </x:row>
    <x:row r="25">
      <x:c r="A25" s="24" t="str">
        <x:v>赛太岁/金毛犼</x:v>
      </x:c>
      <x:c r="B25" s="24" t="str">
        <x:v>观音坐骑外溢</x:v>
      </x:c>
      <x:c r="C25" s="24" t="n">
        <x:v>3</x:v>
      </x:c>
      <x:c r="D25" s="24" t="str">
        <x:v>重要节点</x:v>
      </x:c>
      <x:c r="E25" s="24" t="str">
        <x:v>由人物关系表自动汇总；度数=作为关系A/B出现次数。</x:v>
      </x:c>
      <x:c r="F25" s="24"/>
      <x:c r="G25" s="24" t="str">
        <x:v>R020</x:v>
      </x:c>
      <x:c r="H25" s="24" t="str">
        <x:v>唐僧</x:v>
      </x:c>
      <x:c r="I25" s="24" t="str">
        <x:v>乘载/依赖</x:v>
      </x:c>
      <x:c r="J25" s="24" t="str">
        <x:v>白龙马</x:v>
      </x:c>
      <x:c r="K25" s="24" t="str">
        <x:v>第15回</x:v>
      </x:c>
      <x:c r="L25" s="24" t="str">
        <x:v>取经团队</x:v>
      </x:c>
      <x:c r="M25" s="24" t="str">
        <x:v>取经团队</x:v>
      </x:c>
      <x:c r="N25" s="24" t="str">
        <x:v>核心团队内部</x:v>
      </x:c>
      <x:c r="O25" s="24" t="str">
        <x:v>待校核原文</x:v>
      </x:c>
      <x:c r="P25" s="24" t="str">
        <x:v>https://zh.wikisource.org/wiki/西游记/第十五回</x:v>
      </x:c>
    </x:row>
    <x:row r="26">
      <x:c r="A26" s="24" t="str">
        <x:v>蜘蛛精</x:v>
      </x:c>
      <x:c r="B26" s="24" t="str">
        <x:v>盘丝洞系统</x:v>
      </x:c>
      <x:c r="C26" s="24" t="n">
        <x:v>3</x:v>
      </x:c>
      <x:c r="D26" s="24" t="str">
        <x:v>重要节点</x:v>
      </x:c>
      <x:c r="E26" s="24" t="str">
        <x:v>由人物关系表自动汇总；度数=作为关系A/B出现次数。</x:v>
      </x:c>
      <x:c r="F26" s="24"/>
      <x:c r="G26" s="24" t="str">
        <x:v>R021</x:v>
      </x:c>
      <x:c r="H26" s="24" t="str">
        <x:v>孙悟空</x:v>
      </x:c>
      <x:c r="I26" s="24" t="str">
        <x:v>炫示引发风险</x:v>
      </x:c>
      <x:c r="J26" s="24" t="str">
        <x:v>锦襕袈裟</x:v>
      </x:c>
      <x:c r="K26" s="24" t="str">
        <x:v>第16回</x:v>
      </x:c>
      <x:c r="L26" s="24" t="str">
        <x:v>取经团队</x:v>
      </x:c>
      <x:c r="M26" s="24" t="str">
        <x:v>佛门法物</x:v>
      </x:c>
      <x:c r="N26" s="24" t="str">
        <x:v>人物→物/风险触发</x:v>
      </x:c>
      <x:c r="O26" s="24" t="str">
        <x:v>待校核原文</x:v>
      </x:c>
      <x:c r="P26" s="24" t="str">
        <x:v>https://zh.wikisource.org/wiki/西游记/第十六回</x:v>
      </x:c>
    </x:row>
    <x:row r="27">
      <x:c r="A27" s="24" t="str">
        <x:v>蜈蚣精/多目怪</x:v>
      </x:c>
      <x:c r="B27" s="24" t="str">
        <x:v>黄花观系统</x:v>
      </x:c>
      <x:c r="C27" s="24" t="n">
        <x:v>3</x:v>
      </x:c>
      <x:c r="D27" s="24" t="str">
        <x:v>重要节点</x:v>
      </x:c>
      <x:c r="E27" s="24" t="str">
        <x:v>由人物关系表自动汇总；度数=作为关系A/B出现次数。</x:v>
      </x:c>
      <x:c r="F27" s="24"/>
      <x:c r="G27" s="24" t="str">
        <x:v>R022</x:v>
      </x:c>
      <x:c r="H27" s="24" t="str">
        <x:v>金池长老</x:v>
      </x:c>
      <x:c r="I27" s="24" t="str">
        <x:v>贪念/谋害</x:v>
      </x:c>
      <x:c r="J27" s="24" t="str">
        <x:v>唐僧师徒</x:v>
      </x:c>
      <x:c r="K27" s="24" t="str">
        <x:v>第16回</x:v>
      </x:c>
      <x:c r="L27" s="24" t="str">
        <x:v>观音院</x:v>
      </x:c>
      <x:c r="M27" s="24" t="str">
        <x:v>取经团队</x:v>
      </x:c>
      <x:c r="N27" s="24" t="str">
        <x:v>反向关系/风险</x:v>
      </x:c>
      <x:c r="O27" s="24" t="str">
        <x:v>待校核原文</x:v>
      </x:c>
      <x:c r="P27" s="24" t="str">
        <x:v>https://zh.wikisource.org/wiki/西游记/第十六回</x:v>
      </x:c>
    </x:row>
    <x:row r="28">
      <x:c r="A28" s="24" t="str">
        <x:v>青狮精</x:v>
      </x:c>
      <x:c r="B28" s="24" t="str">
        <x:v>文殊坐骑外溢</x:v>
      </x:c>
      <x:c r="C28" s="24" t="n">
        <x:v>3</x:v>
      </x:c>
      <x:c r="D28" s="24" t="str">
        <x:v>重要节点</x:v>
      </x:c>
      <x:c r="E28" s="24" t="str">
        <x:v>由人物关系表自动汇总；度数=作为关系A/B出现次数。</x:v>
      </x:c>
      <x:c r="F28" s="24"/>
      <x:c r="G28" s="24" t="str">
        <x:v>R023</x:v>
      </x:c>
      <x:c r="H28" s="24" t="str">
        <x:v>黑熊精</x:v>
      </x:c>
      <x:c r="I28" s="24" t="str">
        <x:v>盗取</x:v>
      </x:c>
      <x:c r="J28" s="24" t="str">
        <x:v>锦襕袈裟</x:v>
      </x:c>
      <x:c r="K28" s="24" t="str">
        <x:v>第16—17回</x:v>
      </x:c>
      <x:c r="L28" s="24" t="str">
        <x:v>黑风山</x:v>
      </x:c>
      <x:c r="M28" s="24" t="str">
        <x:v>佛门法物</x:v>
      </x:c>
      <x:c r="N28" s="24" t="str">
        <x:v>妖怪→物</x:v>
      </x:c>
      <x:c r="O28" s="24" t="str">
        <x:v>待校核原文</x:v>
      </x:c>
      <x:c r="P28" s="24" t="str">
        <x:v>https://zh.wikisource.org/wiki/西游记/第十七回</x:v>
      </x:c>
    </x:row>
    <x:row r="29">
      <x:c r="A29" s="24" t="str">
        <x:v>南山大王/豹子精</x:v>
      </x:c>
      <x:c r="B29" s="24" t="str">
        <x:v>隐雾山妖怪系统</x:v>
      </x:c>
      <x:c r="C29" s="24" t="n">
        <x:v>3</x:v>
      </x:c>
      <x:c r="D29" s="24" t="str">
        <x:v>重要节点</x:v>
      </x:c>
      <x:c r="E29" s="24" t="str">
        <x:v>由人物关系表自动汇总；度数=作为关系A/B出现次数。</x:v>
      </x:c>
      <x:c r="F29" s="24"/>
      <x:c r="G29" s="24" t="str">
        <x:v>R024</x:v>
      </x:c>
      <x:c r="H29" s="24" t="str">
        <x:v>观音</x:v>
      </x:c>
      <x:c r="I29" s="24" t="str">
        <x:v>收伏/再任用</x:v>
      </x:c>
      <x:c r="J29" s="24" t="str">
        <x:v>黑熊精</x:v>
      </x:c>
      <x:c r="K29" s="24" t="str">
        <x:v>第17回</x:v>
      </x:c>
      <x:c r="L29" s="24" t="str">
        <x:v>灵山系统</x:v>
      </x:c>
      <x:c r="M29" s="24" t="str">
        <x:v>黑风山妖怪</x:v>
      </x:c>
      <x:c r="N29" s="24" t="str">
        <x:v>收伏→安置</x:v>
      </x:c>
      <x:c r="O29" s="24" t="str">
        <x:v>待校核原文</x:v>
      </x:c>
      <x:c r="P29" s="24" t="str">
        <x:v>https://zh.wikisource.org/wiki/西游记/第十七回</x:v>
      </x:c>
    </x:row>
    <x:row r="30">
      <x:c r="A30" s="24" t="str">
        <x:v>孙悟空、猪八戒、沙僧</x:v>
      </x:c>
      <x:c r="B30" s="24" t="str">
        <x:v>取经团队</x:v>
      </x:c>
      <x:c r="C30" s="24" t="n">
        <x:v>3</x:v>
      </x:c>
      <x:c r="D30" s="24" t="str">
        <x:v>重要节点</x:v>
      </x:c>
      <x:c r="E30" s="24" t="str">
        <x:v>由人物关系表自动汇总；度数=作为关系A/B出现次数。</x:v>
      </x:c>
      <x:c r="F30" s="24"/>
      <x:c r="G30" s="24" t="str">
        <x:v>R025</x:v>
      </x:c>
      <x:c r="H30" s="24" t="str">
        <x:v>孙悟空</x:v>
      </x:c>
      <x:c r="I30" s="24" t="str">
        <x:v>收伏/引入团队</x:v>
      </x:c>
      <x:c r="J30" s="24" t="str">
        <x:v>猪八戒</x:v>
      </x:c>
      <x:c r="K30" s="24" t="str">
        <x:v>第18—19回</x:v>
      </x:c>
      <x:c r="L30" s="24" t="str">
        <x:v>取经团队</x:v>
      </x:c>
      <x:c r="M30" s="24" t="str">
        <x:v>贬谪天神/取经团队</x:v>
      </x:c>
      <x:c r="N30" s="24" t="str">
        <x:v>收伏→同伴</x:v>
      </x:c>
      <x:c r="O30" s="24" t="str">
        <x:v>待校核原文</x:v>
      </x:c>
      <x:c r="P30" s="24" t="str">
        <x:v>https://zh.wikisource.org/wiki/西游记/第十九回</x:v>
      </x:c>
    </x:row>
    <x:row r="31">
      <x:c r="A31" s="24" t="str">
        <x:v>黄狮精</x:v>
      </x:c>
      <x:c r="B31" s="24" t="str">
        <x:v>豹头山妖怪系统</x:v>
      </x:c>
      <x:c r="C31" s="24" t="n">
        <x:v>3</x:v>
      </x:c>
      <x:c r="D31" s="24" t="str">
        <x:v>重要节点</x:v>
      </x:c>
      <x:c r="E31" s="24" t="str">
        <x:v>由人物关系表自动汇总；度数=作为关系A/B出现次数。</x:v>
      </x:c>
      <x:c r="F31" s="24"/>
      <x:c r="G31" s="24" t="str">
        <x:v>R026</x:v>
      </x:c>
      <x:c r="H31" s="24" t="str">
        <x:v>唐僧</x:v>
      </x:c>
      <x:c r="I31" s="24" t="str">
        <x:v>师徒/命名</x:v>
      </x:c>
      <x:c r="J31" s="24" t="str">
        <x:v>猪八戒</x:v>
      </x:c>
      <x:c r="K31" s="24" t="str">
        <x:v>第19回</x:v>
      </x:c>
      <x:c r="L31" s="24" t="str">
        <x:v>取经团队</x:v>
      </x:c>
      <x:c r="M31" s="24" t="str">
        <x:v>取经团队</x:v>
      </x:c>
      <x:c r="N31" s="24" t="str">
        <x:v>师徒</x:v>
      </x:c>
      <x:c r="O31" s="24" t="str">
        <x:v>待校核原文</x:v>
      </x:c>
      <x:c r="P31" s="24" t="str">
        <x:v>https://zh.wikisource.org/wiki/西游记/第十九回</x:v>
      </x:c>
    </x:row>
    <x:row r="32">
      <x:c r="A32" s="24" t="str">
        <x:v>玉兔精</x:v>
      </x:c>
      <x:c r="B32" s="24" t="str">
        <x:v>月宫系统</x:v>
      </x:c>
      <x:c r="C32" s="24" t="n">
        <x:v>3</x:v>
      </x:c>
      <x:c r="D32" s="24" t="str">
        <x:v>重要节点</x:v>
      </x:c>
      <x:c r="E32" s="24" t="str">
        <x:v>由人物关系表自动汇总；度数=作为关系A/B出现次数。</x:v>
      </x:c>
      <x:c r="F32" s="24"/>
      <x:c r="G32" s="24" t="str">
        <x:v>R027</x:v>
      </x:c>
      <x:c r="H32" s="24" t="str">
        <x:v>乌巢禅师</x:v>
      </x:c>
      <x:c r="I32" s="24" t="str">
        <x:v>传授心法</x:v>
      </x:c>
      <x:c r="J32" s="24" t="str">
        <x:v>唐僧</x:v>
      </x:c>
      <x:c r="K32" s="24" t="str">
        <x:v>第19回</x:v>
      </x:c>
      <x:c r="L32" s="24" t="str">
        <x:v>佛门/高人系统</x:v>
      </x:c>
      <x:c r="M32" s="24" t="str">
        <x:v>取经团队</x:v>
      </x:c>
      <x:c r="N32" s="24" t="str">
        <x:v>导师→心法</x:v>
      </x:c>
      <x:c r="O32" s="24" t="str">
        <x:v>待校核原文</x:v>
      </x:c>
      <x:c r="P32" s="24" t="str">
        <x:v>https://zh.wikisource.org/wiki/西游记/第十九回</x:v>
      </x:c>
    </x:row>
    <x:row r="33">
      <x:c r="A33" s="24" t="str">
        <x:v>小白龙</x:v>
      </x:c>
      <x:c r="B33" s="24" t="str">
        <x:v>龙族罪人</x:v>
      </x:c>
      <x:c r="C33" s="24" t="n">
        <x:v>2</x:v>
      </x:c>
      <x:c r="D33" s="24" t="str">
        <x:v>边缘节点</x:v>
      </x:c>
      <x:c r="E33" s="24" t="str">
        <x:v>由人物关系表自动汇总；度数=作为关系A/B出现次数。</x:v>
      </x:c>
      <x:c r="F33" s="24"/>
      <x:c r="G33" s="24" t="str">
        <x:v>R028</x:v>
      </x:c>
      <x:c r="H33" s="24" t="str">
        <x:v>黄风怪</x:v>
      </x:c>
      <x:c r="I33" s="24" t="str">
        <x:v>摄拿/阻碍</x:v>
      </x:c>
      <x:c r="J33" s="24" t="str">
        <x:v>唐僧</x:v>
      </x:c>
      <x:c r="K33" s="24" t="str">
        <x:v>第20回</x:v>
      </x:c>
      <x:c r="L33" s="24" t="str">
        <x:v>黄风岭妖怪系统</x:v>
      </x:c>
      <x:c r="M33" s="24" t="str">
        <x:v>取经团队</x:v>
      </x:c>
      <x:c r="N33" s="24" t="str">
        <x:v>妖怪→阻碍</x:v>
      </x:c>
      <x:c r="O33" s="24" t="str">
        <x:v>待校核原文</x:v>
      </x:c>
      <x:c r="P33" s="24" t="str">
        <x:v>https://zh.wikisource.org/wiki/西游记/第二十回</x:v>
      </x:c>
    </x:row>
    <x:row r="34">
      <x:c r="A34" s="24" t="str">
        <x:v>陈光蕊</x:v>
      </x:c>
      <x:c r="B34" s="24" t="str">
        <x:v>人间士人</x:v>
      </x:c>
      <x:c r="C34" s="24" t="n">
        <x:v>2</x:v>
      </x:c>
      <x:c r="D34" s="24" t="str">
        <x:v>边缘节点</x:v>
      </x:c>
      <x:c r="E34" s="24" t="str">
        <x:v>由人物关系表自动汇总；度数=作为关系A/B出现次数。</x:v>
      </x:c>
      <x:c r="F34" s="24"/>
      <x:c r="G34" s="24" t="str">
        <x:v>R029</x:v>
      </x:c>
      <x:c r="H34" s="24" t="str">
        <x:v>灵吉菩萨</x:v>
      </x:c>
      <x:c r="I34" s="24" t="str">
        <x:v>专业降伏</x:v>
      </x:c>
      <x:c r="J34" s="24" t="str">
        <x:v>黄风怪</x:v>
      </x:c>
      <x:c r="K34" s="24" t="str">
        <x:v>第21回</x:v>
      </x:c>
      <x:c r="L34" s="24" t="str">
        <x:v>灵山系统</x:v>
      </x:c>
      <x:c r="M34" s="24" t="str">
        <x:v>黄风岭妖怪系统</x:v>
      </x:c>
      <x:c r="N34" s="24" t="str">
        <x:v>专家→降伏</x:v>
      </x:c>
      <x:c r="O34" s="24" t="str">
        <x:v>待校核原文</x:v>
      </x:c>
      <x:c r="P34" s="24" t="str">
        <x:v>https://zh.wikisource.org/wiki/西游记/第二十一回</x:v>
      </x:c>
    </x:row>
    <x:row r="35">
      <x:c r="A35" s="24" t="str">
        <x:v>泾河龙王</x:v>
      </x:c>
      <x:c r="B35" s="24" t="str">
        <x:v>龙族水府</x:v>
      </x:c>
      <x:c r="C35" s="24" t="n">
        <x:v>2</x:v>
      </x:c>
      <x:c r="D35" s="24" t="str">
        <x:v>边缘节点</x:v>
      </x:c>
      <x:c r="E35" s="24" t="str">
        <x:v>由人物关系表自动汇总；度数=作为关系A/B出现次数。</x:v>
      </x:c>
      <x:c r="F35" s="24"/>
      <x:c r="G35" s="24" t="str">
        <x:v>R030</x:v>
      </x:c>
      <x:c r="H35" s="24" t="str">
        <x:v>猪八戒</x:v>
      </x:c>
      <x:c r="I35" s="24" t="str">
        <x:v>战斗/磨合</x:v>
      </x:c>
      <x:c r="J35" s="24" t="str">
        <x:v>沙悟净</x:v>
      </x:c>
      <x:c r="K35" s="24" t="str">
        <x:v>第22回</x:v>
      </x:c>
      <x:c r="L35" s="24" t="str">
        <x:v>取经团队</x:v>
      </x:c>
      <x:c r="M35" s="24" t="str">
        <x:v>流沙河/取经团队</x:v>
      </x:c>
      <x:c r="N35" s="24" t="str">
        <x:v>冲突→同伴</x:v>
      </x:c>
      <x:c r="O35" s="24" t="str">
        <x:v>待校核原文</x:v>
      </x:c>
      <x:c r="P35" s="24" t="str">
        <x:v>https://zh.wikisource.org/wiki/西游记/第二十二回</x:v>
      </x:c>
    </x:row>
    <x:row r="36">
      <x:c r="A36" s="24" t="str">
        <x:v>白龙马</x:v>
      </x:c>
      <x:c r="B36" s="24" t="str">
        <x:v>取经团队</x:v>
      </x:c>
      <x:c r="C36" s="24" t="n">
        <x:v>2</x:v>
      </x:c>
      <x:c r="D36" s="24" t="str">
        <x:v>边缘节点</x:v>
      </x:c>
      <x:c r="E36" s="24" t="str">
        <x:v>由人物关系表自动汇总；度数=作为关系A/B出现次数。</x:v>
      </x:c>
      <x:c r="F36" s="24"/>
      <x:c r="G36" s="24" t="str">
        <x:v>R031</x:v>
      </x:c>
      <x:c r="H36" s="24" t="str">
        <x:v>木叉</x:v>
      </x:c>
      <x:c r="I36" s="24" t="str">
        <x:v>奉法收伏</x:v>
      </x:c>
      <x:c r="J36" s="24" t="str">
        <x:v>沙悟净</x:v>
      </x:c>
      <x:c r="K36" s="24" t="str">
        <x:v>第22回</x:v>
      </x:c>
      <x:c r="L36" s="24" t="str">
        <x:v>观音系统</x:v>
      </x:c>
      <x:c r="M36" s="24" t="str">
        <x:v>贬谪神将/取经团队</x:v>
      </x:c>
      <x:c r="N36" s="24" t="str">
        <x:v>授权→归队</x:v>
      </x:c>
      <x:c r="O36" s="24" t="str">
        <x:v>待校核原文</x:v>
      </x:c>
      <x:c r="P36" s="24" t="str">
        <x:v>https://zh.wikisource.org/wiki/西游记/第二十二回</x:v>
      </x:c>
    </x:row>
    <x:row r="37">
      <x:c r="A37" s="24" t="str">
        <x:v>锦襕袈裟</x:v>
      </x:c>
      <x:c r="B37" s="24" t="str">
        <x:v>佛门法物</x:v>
      </x:c>
      <x:c r="C37" s="24" t="n">
        <x:v>2</x:v>
      </x:c>
      <x:c r="D37" s="24" t="str">
        <x:v>边缘节点</x:v>
      </x:c>
      <x:c r="E37" s="24" t="str">
        <x:v>由人物关系表自动汇总；度数=作为关系A/B出现次数。</x:v>
      </x:c>
      <x:c r="F37" s="24"/>
      <x:c r="G37" s="24" t="str">
        <x:v>R032</x:v>
      </x:c>
      <x:c r="H37" s="24" t="str">
        <x:v>唐僧</x:v>
      </x:c>
      <x:c r="I37" s="24" t="str">
        <x:v>师徒/团队完成</x:v>
      </x:c>
      <x:c r="J37" s="24" t="str">
        <x:v>沙悟净</x:v>
      </x:c>
      <x:c r="K37" s="24" t="str">
        <x:v>第22回</x:v>
      </x:c>
      <x:c r="L37" s="24" t="str">
        <x:v>取经团队</x:v>
      </x:c>
      <x:c r="M37" s="24" t="str">
        <x:v>取经团队</x:v>
      </x:c>
      <x:c r="N37" s="24" t="str">
        <x:v>师徒</x:v>
      </x:c>
      <x:c r="O37" s="24" t="str">
        <x:v>待校核原文</x:v>
      </x:c>
      <x:c r="P37" s="24" t="str">
        <x:v>https://zh.wikisource.org/wiki/西游记/第二十二回</x:v>
      </x:c>
    </x:row>
    <x:row r="38">
      <x:c r="A38" s="24" t="str">
        <x:v>黑熊精</x:v>
      </x:c>
      <x:c r="B38" s="24" t="str">
        <x:v>黑风山</x:v>
      </x:c>
      <x:c r="C38" s="24" t="n">
        <x:v>2</x:v>
      </x:c>
      <x:c r="D38" s="24" t="str">
        <x:v>边缘节点</x:v>
      </x:c>
      <x:c r="E38" s="24" t="str">
        <x:v>由人物关系表自动汇总；度数=作为关系A/B出现次数。</x:v>
      </x:c>
      <x:c r="F38" s="24"/>
      <x:c r="G38" s="24" t="str">
        <x:v>R033</x:v>
      </x:c>
      <x:c r="H38" s="24" t="str">
        <x:v>四圣</x:v>
      </x:c>
      <x:c r="I38" s="24" t="str">
        <x:v>设局试炼</x:v>
      </x:c>
      <x:c r="J38" s="24" t="str">
        <x:v>取经团队</x:v>
      </x:c>
      <x:c r="K38" s="24" t="str">
        <x:v>第23回</x:v>
      </x:c>
      <x:c r="L38" s="24" t="str">
        <x:v>灵山/圣者系统</x:v>
      </x:c>
      <x:c r="M38" s="24" t="str">
        <x:v>取经团队</x:v>
      </x:c>
      <x:c r="N38" s="24" t="str">
        <x:v>试炼→团队</x:v>
      </x:c>
      <x:c r="O38" s="24" t="str">
        <x:v>待校核原文</x:v>
      </x:c>
      <x:c r="P38" s="24" t="str">
        <x:v>https://zh.wikisource.org/wiki/西游记/第二十三回</x:v>
      </x:c>
    </x:row>
    <x:row r="39">
      <x:c r="A39" s="24" t="str">
        <x:v>黄风怪</x:v>
      </x:c>
      <x:c r="B39" s="24" t="str">
        <x:v>黄风岭妖怪系统</x:v>
      </x:c>
      <x:c r="C39" s="24" t="n">
        <x:v>2</x:v>
      </x:c>
      <x:c r="D39" s="24" t="str">
        <x:v>边缘节点</x:v>
      </x:c>
      <x:c r="E39" s="24" t="str">
        <x:v>由人物关系表自动汇总；度数=作为关系A/B出现次数。</x:v>
      </x:c>
      <x:c r="F39" s="24"/>
      <x:c r="G39" s="24" t="str">
        <x:v>R034</x:v>
      </x:c>
      <x:c r="H39" s="24" t="str">
        <x:v>猪八戒</x:v>
      </x:c>
      <x:c r="I39" s="24" t="str">
        <x:v>欲望暴露/受惩</x:v>
      </x:c>
      <x:c r="J39" s="24" t="str">
        <x:v>四圣</x:v>
      </x:c>
      <x:c r="K39" s="24" t="str">
        <x:v>第23回</x:v>
      </x:c>
      <x:c r="L39" s="24" t="str">
        <x:v>取经团队</x:v>
      </x:c>
      <x:c r="M39" s="24" t="str">
        <x:v>灵山/圣者系统</x:v>
      </x:c>
      <x:c r="N39" s="24" t="str">
        <x:v>成员→试炼</x:v>
      </x:c>
      <x:c r="O39" s="24" t="str">
        <x:v>待校核原文</x:v>
      </x:c>
      <x:c r="P39" s="24" t="str">
        <x:v>https://zh.wikisource.org/wiki/西游记/第二十三回</x:v>
      </x:c>
    </x:row>
    <x:row r="40">
      <x:c r="A40" s="24" t="str">
        <x:v>四圣</x:v>
      </x:c>
      <x:c r="B40" s="24" t="str">
        <x:v>灵山/圣者系统</x:v>
      </x:c>
      <x:c r="C40" s="24" t="n">
        <x:v>2</x:v>
      </x:c>
      <x:c r="D40" s="24" t="str">
        <x:v>边缘节点</x:v>
      </x:c>
      <x:c r="E40" s="24" t="str">
        <x:v>由人物关系表自动汇总；度数=作为关系A/B出现次数。</x:v>
      </x:c>
      <x:c r="F40" s="24"/>
      <x:c r="G40" s="24" t="str">
        <x:v>R035</x:v>
      </x:c>
      <x:c r="H40" s="24" t="str">
        <x:v>孙悟空</x:v>
      </x:c>
      <x:c r="I40" s="24" t="str">
        <x:v>冲突/破坏</x:v>
      </x:c>
      <x:c r="J40" s="24" t="str">
        <x:v>镇元大仙</x:v>
      </x:c>
      <x:c r="K40" s="24" t="str">
        <x:v>第24—26回</x:v>
      </x:c>
      <x:c r="L40" s="24" t="str">
        <x:v>取经团队</x:v>
      </x:c>
      <x:c r="M40" s="24" t="str">
        <x:v>五庄观系统</x:v>
      </x:c>
      <x:c r="N40" s="24" t="str">
        <x:v>冲突→和解</x:v>
      </x:c>
      <x:c r="O40" s="24" t="str">
        <x:v>待校核原文</x:v>
      </x:c>
      <x:c r="P40" s="24" t="str">
        <x:v>https://zh.wikisource.org/wiki/西游记/第二十五回</x:v>
      </x:c>
    </x:row>
    <x:row r="41">
      <x:c r="A41" s="24" t="str">
        <x:v>取经团队</x:v>
      </x:c>
      <x:c r="B41" s="24" t="str">
        <x:v>取经团队</x:v>
      </x:c>
      <x:c r="C41" s="24" t="n">
        <x:v>2</x:v>
      </x:c>
      <x:c r="D41" s="24" t="str">
        <x:v>边缘节点</x:v>
      </x:c>
      <x:c r="E41" s="24" t="str">
        <x:v>由人物关系表自动汇总；度数=作为关系A/B出现次数。</x:v>
      </x:c>
      <x:c r="F41" s="24"/>
      <x:c r="G41" s="24" t="str">
        <x:v>R036</x:v>
      </x:c>
      <x:c r="H41" s="24" t="str">
        <x:v>观音</x:v>
      </x:c>
      <x:c r="I41" s="24" t="str">
        <x:v>专业救援/修复</x:v>
      </x:c>
      <x:c r="J41" s="24" t="str">
        <x:v>人参果树</x:v>
      </x:c>
      <x:c r="K41" s="24" t="str">
        <x:v>第26回</x:v>
      </x:c>
      <x:c r="L41" s="24" t="str">
        <x:v>灵山系统</x:v>
      </x:c>
      <x:c r="M41" s="24" t="str">
        <x:v>五庄观资源</x:v>
      </x:c>
      <x:c r="N41" s="24" t="str">
        <x:v>外援→修复</x:v>
      </x:c>
      <x:c r="O41" s="24" t="str">
        <x:v>待校核原文</x:v>
      </x:c>
      <x:c r="P41" s="24" t="str">
        <x:v>https://zh.wikisource.org/wiki/西游记/第二十六回</x:v>
      </x:c>
    </x:row>
    <x:row r="42">
      <x:c r="A42" s="24" t="str">
        <x:v>金角大王、银角大王</x:v>
      </x:c>
      <x:c r="B42" s="24" t="str">
        <x:v>莲花洞妖怪</x:v>
      </x:c>
      <x:c r="C42" s="24" t="n">
        <x:v>2</x:v>
      </x:c>
      <x:c r="D42" s="24" t="str">
        <x:v>边缘节点</x:v>
      </x:c>
      <x:c r="E42" s="24" t="str">
        <x:v>由人物关系表自动汇总；度数=作为关系A/B出现次数。</x:v>
      </x:c>
      <x:c r="F42" s="24"/>
      <x:c r="G42" s="24" t="str">
        <x:v>R037</x:v>
      </x:c>
      <x:c r="H42" s="24" t="str">
        <x:v>唐僧</x:v>
      </x:c>
      <x:c r="I42" s="24" t="str">
        <x:v>误判/逐出</x:v>
      </x:c>
      <x:c r="J42" s="24" t="str">
        <x:v>孙悟空</x:v>
      </x:c>
      <x:c r="K42" s="24" t="str">
        <x:v>第27回</x:v>
      </x:c>
      <x:c r="L42" s="24" t="str">
        <x:v>取经团队</x:v>
      </x:c>
      <x:c r="M42" s="24" t="str">
        <x:v>取经团队</x:v>
      </x:c>
      <x:c r="N42" s="24" t="str">
        <x:v>领导→核心能力</x:v>
      </x:c>
      <x:c r="O42" s="24" t="str">
        <x:v>待校核原文</x:v>
      </x:c>
      <x:c r="P42" s="24" t="str">
        <x:v>https://zh.wikisource.org/wiki/西游记/第二十七回</x:v>
      </x:c>
    </x:row>
    <x:row r="43">
      <x:c r="A43" s="24" t="str">
        <x:v>乌鸡国真王</x:v>
      </x:c>
      <x:c r="B43" s="24" t="str">
        <x:v>人间王权系统</x:v>
      </x:c>
      <x:c r="C43" s="24" t="n">
        <x:v>2</x:v>
      </x:c>
      <x:c r="D43" s="24" t="str">
        <x:v>边缘节点</x:v>
      </x:c>
      <x:c r="E43" s="24" t="str">
        <x:v>由人物关系表自动汇总；度数=作为关系A/B出现次数。</x:v>
      </x:c>
      <x:c r="F43" s="24"/>
      <x:c r="G43" s="24" t="str">
        <x:v>R038</x:v>
      </x:c>
      <x:c r="H43" s="24" t="str">
        <x:v>猪八戒</x:v>
      </x:c>
      <x:c r="I43" s="24" t="str">
        <x:v>挑拨/内部噪声</x:v>
      </x:c>
      <x:c r="J43" s="24" t="str">
        <x:v>唐僧</x:v>
      </x:c>
      <x:c r="K43" s="24" t="str">
        <x:v>第27回</x:v>
      </x:c>
      <x:c r="L43" s="24" t="str">
        <x:v>取经团队</x:v>
      </x:c>
      <x:c r="M43" s="24" t="str">
        <x:v>取经团队</x:v>
      </x:c>
      <x:c r="N43" s="24" t="str">
        <x:v>成员→领导影响</x:v>
      </x:c>
      <x:c r="O43" s="24" t="str">
        <x:v>待校核原文</x:v>
      </x:c>
      <x:c r="P43" s="24" t="str">
        <x:v>https://zh.wikisource.org/wiki/西游记/第二十七回</x:v>
      </x:c>
    </x:row>
    <x:row r="44">
      <x:c r="A44" s="24" t="str">
        <x:v>乌鸡国太子</x:v>
      </x:c>
      <x:c r="B44" s="24" t="str">
        <x:v>人间王权系统</x:v>
      </x:c>
      <x:c r="C44" s="24" t="n">
        <x:v>2</x:v>
      </x:c>
      <x:c r="D44" s="24" t="str">
        <x:v>边缘节点</x:v>
      </x:c>
      <x:c r="E44" s="24" t="str">
        <x:v>由人物关系表自动汇总；度数=作为关系A/B出现次数。</x:v>
      </x:c>
      <x:c r="F44" s="24"/>
      <x:c r="G44" s="24" t="str">
        <x:v>R039</x:v>
      </x:c>
      <x:c r="H44" s="24" t="str">
        <x:v>白骨精</x:v>
      </x:c>
      <x:c r="I44" s="24" t="str">
        <x:v>伪装诱骗</x:v>
      </x:c>
      <x:c r="J44" s="24" t="str">
        <x:v>唐僧</x:v>
      </x:c>
      <x:c r="K44" s="24" t="str">
        <x:v>第27回</x:v>
      </x:c>
      <x:c r="L44" s="24" t="str">
        <x:v>白虎岭妖魔</x:v>
      </x:c>
      <x:c r="M44" s="24" t="str">
        <x:v>取经团队</x:v>
      </x:c>
      <x:c r="N44" s="24" t="str">
        <x:v>妖魔→目标</x:v>
      </x:c>
      <x:c r="O44" s="24" t="str">
        <x:v>待校核原文</x:v>
      </x:c>
      <x:c r="P44" s="24" t="str">
        <x:v>https://zh.wikisource.org/wiki/西游记/第二十七回</x:v>
      </x:c>
    </x:row>
    <x:row r="45">
      <x:c r="A45" s="24" t="str">
        <x:v>文殊菩萨</x:v>
      </x:c>
      <x:c r="B45" s="24" t="str">
        <x:v>灵山系统</x:v>
      </x:c>
      <x:c r="C45" s="24" t="n">
        <x:v>2</x:v>
      </x:c>
      <x:c r="D45" s="24" t="str">
        <x:v>边缘节点</x:v>
      </x:c>
      <x:c r="E45" s="24" t="str">
        <x:v>由人物关系表自动汇总；度数=作为关系A/B出现次数。</x:v>
      </x:c>
      <x:c r="F45" s="24"/>
      <x:c r="G45" s="24" t="str">
        <x:v>R040</x:v>
      </x:c>
      <x:c r="H45" s="24" t="str">
        <x:v>白龙马</x:v>
      </x:c>
      <x:c r="I45" s="24" t="str">
        <x:v>劝谏/推动求援</x:v>
      </x:c>
      <x:c r="J45" s="24" t="str">
        <x:v>猪八戒</x:v>
      </x:c>
      <x:c r="K45" s="24" t="str">
        <x:v>第30回</x:v>
      </x:c>
      <x:c r="L45" s="24" t="str">
        <x:v>取经团队</x:v>
      </x:c>
      <x:c r="M45" s="24" t="str">
        <x:v>取经团队</x:v>
      </x:c>
      <x:c r="N45" s="24" t="str">
        <x:v>沉默角色→行动者</x:v>
      </x:c>
      <x:c r="O45" s="24" t="str">
        <x:v>待校核原文</x:v>
      </x:c>
      <x:c r="P45" s="24" t="str">
        <x:v>https://zh.wikisource.org/wiki/西游记/第三十回</x:v>
      </x:c>
    </x:row>
    <x:row r="46">
      <x:c r="A46" s="24" t="str">
        <x:v>鼍龙</x:v>
      </x:c>
      <x:c r="B46" s="24" t="str">
        <x:v>黑水河</x:v>
      </x:c>
      <x:c r="C46" s="24" t="n">
        <x:v>2</x:v>
      </x:c>
      <x:c r="D46" s="24" t="str">
        <x:v>边缘节点</x:v>
      </x:c>
      <x:c r="E46" s="24" t="str">
        <x:v>由人物关系表自动汇总；度数=作为关系A/B出现次数。</x:v>
      </x:c>
      <x:c r="F46" s="24"/>
      <x:c r="G46" s="24" t="str">
        <x:v>R041</x:v>
      </x:c>
      <x:c r="H46" s="24" t="str">
        <x:v>猪八戒</x:v>
      </x:c>
      <x:c r="I46" s="24" t="str">
        <x:v>义激/请回</x:v>
      </x:c>
      <x:c r="J46" s="24" t="str">
        <x:v>孙悟空</x:v>
      </x:c>
      <x:c r="K46" s="24" t="str">
        <x:v>第31回</x:v>
      </x:c>
      <x:c r="L46" s="24" t="str">
        <x:v>取经团队</x:v>
      </x:c>
      <x:c r="M46" s="24" t="str">
        <x:v>取经团队</x:v>
      </x:c>
      <x:c r="N46" s="24" t="str">
        <x:v>成员→核心能力回归</x:v>
      </x:c>
      <x:c r="O46" s="24" t="str">
        <x:v>待校核原文</x:v>
      </x:c>
      <x:c r="P46" s="24" t="str">
        <x:v>https://zh.wikisource.org/wiki/西游记/第三十一回</x:v>
      </x:c>
    </x:row>
    <x:row r="47">
      <x:c r="A47" s="24" t="str">
        <x:v>虎力鹿力羊力大仙</x:v>
      </x:c>
      <x:c r="B47" s="24" t="str">
        <x:v>伪宗教权威</x:v>
      </x:c>
      <x:c r="C47" s="24" t="n">
        <x:v>2</x:v>
      </x:c>
      <x:c r="D47" s="24" t="str">
        <x:v>边缘节点</x:v>
      </x:c>
      <x:c r="E47" s="24" t="str">
        <x:v>由人物关系表自动汇总；度数=作为关系A/B出现次数。</x:v>
      </x:c>
      <x:c r="F47" s="24"/>
      <x:c r="G47" s="24" t="str">
        <x:v>R042</x:v>
      </x:c>
      <x:c r="H47" s="24" t="str">
        <x:v>孙悟空</x:v>
      </x:c>
      <x:c r="I47" s="24" t="str">
        <x:v>智降/处置</x:v>
      </x:c>
      <x:c r="J47" s="24" t="str">
        <x:v>黄袍怪</x:v>
      </x:c>
      <x:c r="K47" s="24" t="str">
        <x:v>第31回</x:v>
      </x:c>
      <x:c r="L47" s="24" t="str">
        <x:v>取经团队</x:v>
      </x:c>
      <x:c r="M47" s="24" t="str">
        <x:v>妖怪/天庭星宿</x:v>
      </x:c>
      <x:c r="N47" s="24" t="str">
        <x:v>核心能力→风险处置</x:v>
      </x:c>
      <x:c r="O47" s="24" t="str">
        <x:v>待校核原文</x:v>
      </x:c>
      <x:c r="P47" s="24" t="str">
        <x:v>https://zh.wikisource.org/wiki/西游记/第三十一回</x:v>
      </x:c>
    </x:row>
    <x:row r="48">
      <x:c r="A48" s="24" t="str">
        <x:v>金光寺僧</x:v>
      </x:c>
      <x:c r="B48" s="24" t="str">
        <x:v>佛寺系统</x:v>
      </x:c>
      <x:c r="C48" s="24" t="n">
        <x:v>2</x:v>
      </x:c>
      <x:c r="D48" s="24" t="str">
        <x:v>边缘节点</x:v>
      </x:c>
      <x:c r="E48" s="24" t="str">
        <x:v>由人物关系表自动汇总；度数=作为关系A/B出现次数。</x:v>
      </x:c>
      <x:c r="F48" s="24"/>
      <x:c r="G48" s="24" t="str">
        <x:v>R043</x:v>
      </x:c>
      <x:c r="H48" s="24" t="str">
        <x:v>黄袍怪/奎木狼</x:v>
      </x:c>
      <x:c r="I48" s="24" t="str">
        <x:v>身份归属</x:v>
      </x:c>
      <x:c r="J48" s="24" t="str">
        <x:v>天庭星宿系统</x:v>
      </x:c>
      <x:c r="K48" s="24" t="str">
        <x:v>第31回</x:v>
      </x:c>
      <x:c r="L48" s="24" t="str">
        <x:v>妖怪外显</x:v>
      </x:c>
      <x:c r="M48" s="24" t="str">
        <x:v>天庭系统</x:v>
      </x:c>
      <x:c r="N48" s="24" t="str">
        <x:v>后台→妖怪</x:v>
      </x:c>
      <x:c r="O48" s="24" t="str">
        <x:v>待校核原文</x:v>
      </x:c>
      <x:c r="P48" s="24" t="str">
        <x:v>https://zh.wikisource.org/wiki/西游记/第三十一回</x:v>
      </x:c>
    </x:row>
    <x:row r="49">
      <x:c r="A49" s="24" t="str">
        <x:v>悟空</x:v>
      </x:c>
      <x:c r="B49" s="24" t="str">
        <x:v>取经团队</x:v>
      </x:c>
      <x:c r="C49" s="24" t="n">
        <x:v>2</x:v>
      </x:c>
      <x:c r="D49" s="24" t="str">
        <x:v>边缘节点</x:v>
      </x:c>
      <x:c r="E49" s="24" t="str">
        <x:v>由人物关系表自动汇总；度数=作为关系A/B出现次数。</x:v>
      </x:c>
      <x:c r="F49" s="24"/>
      <x:c r="G49" s="24" t="str">
        <x:v>R044</x:v>
      </x:c>
      <x:c r="H49" s="24" t="str">
        <x:v>功曹</x:v>
      </x:c>
      <x:c r="I49" s="24" t="str">
        <x:v>预警/传信</x:v>
      </x:c>
      <x:c r="J49" s="24" t="str">
        <x:v>孙悟空</x:v>
      </x:c>
      <x:c r="K49" s="24" t="str">
        <x:v>第32回</x:v>
      </x:c>
      <x:c r="L49" s="24" t="str">
        <x:v>护法/天界辅助</x:v>
      </x:c>
      <x:c r="M49" s="24" t="str">
        <x:v>取经团队</x:v>
      </x:c>
      <x:c r="N49" s="24" t="str">
        <x:v>预警→执行</x:v>
      </x:c>
      <x:c r="O49" s="24" t="str">
        <x:v>待校核原文</x:v>
      </x:c>
      <x:c r="P49" s="24" t="str">
        <x:v>https://zh.wikisource.org/wiki/西游记/第三十二回</x:v>
      </x:c>
    </x:row>
    <x:row r="50">
      <x:c r="A50" s="24" t="str">
        <x:v>九头虫</x:v>
      </x:c>
      <x:c r="B50" s="24" t="str">
        <x:v>妖怪系统</x:v>
      </x:c>
      <x:c r="C50" s="24" t="n">
        <x:v>2</x:v>
      </x:c>
      <x:c r="D50" s="24" t="str">
        <x:v>边缘节点</x:v>
      </x:c>
      <x:c r="E50" s="24" t="str">
        <x:v>由人物关系表自动汇总；度数=作为关系A/B出现次数。</x:v>
      </x:c>
      <x:c r="F50" s="24"/>
      <x:c r="G50" s="24" t="str">
        <x:v>R045</x:v>
      </x:c>
      <x:c r="H50" s="24" t="str">
        <x:v>金角大王</x:v>
      </x:c>
      <x:c r="I50" s="24" t="str">
        <x:v>同伙/协同</x:v>
      </x:c>
      <x:c r="J50" s="24" t="str">
        <x:v>银角大王</x:v>
      </x:c>
      <x:c r="K50" s="24" t="str">
        <x:v>第32—35回</x:v>
      </x:c>
      <x:c r="L50" s="24" t="str">
        <x:v>莲花洞妖怪</x:v>
      </x:c>
      <x:c r="M50" s="24" t="str">
        <x:v>莲花洞妖怪</x:v>
      </x:c>
      <x:c r="N50" s="24" t="str">
        <x:v>妖怪内部协同</x:v>
      </x:c>
      <x:c r="O50" s="24" t="str">
        <x:v>待校核原文</x:v>
      </x:c>
      <x:c r="P50" s="24" t="str">
        <x:v>https://zh.wikisource.org/wiki/西游记/第三十二回</x:v>
      </x:c>
    </x:row>
    <x:row r="51">
      <x:c r="A51" s="24" t="str">
        <x:v>黄眉老怪</x:v>
      </x:c>
      <x:c r="B51" s="24" t="str">
        <x:v>弥勒系统外溢</x:v>
      </x:c>
      <x:c r="C51" s="24" t="n">
        <x:v>2</x:v>
      </x:c>
      <x:c r="D51" s="24" t="str">
        <x:v>边缘节点</x:v>
      </x:c>
      <x:c r="E51" s="24" t="str">
        <x:v>由人物关系表自动汇总；度数=作为关系A/B出现次数。</x:v>
      </x:c>
      <x:c r="F51" s="24"/>
      <x:c r="G51" s="24" t="str">
        <x:v>R046</x:v>
      </x:c>
      <x:c r="H51" s="24" t="str">
        <x:v>金角大王/银角大王</x:v>
      </x:c>
      <x:c r="I51" s="24" t="str">
        <x:v>擒拿/设局</x:v>
      </x:c>
      <x:c r="J51" s="24" t="str">
        <x:v>唐僧师徒</x:v>
      </x:c>
      <x:c r="K51" s="24" t="str">
        <x:v>第32—35回</x:v>
      </x:c>
      <x:c r="L51" s="24" t="str">
        <x:v>莲花洞妖怪</x:v>
      </x:c>
      <x:c r="M51" s="24" t="str">
        <x:v>取经团队</x:v>
      </x:c>
      <x:c r="N51" s="24" t="str">
        <x:v>妖怪→团队风险</x:v>
      </x:c>
      <x:c r="O51" s="24" t="str">
        <x:v>待校核原文</x:v>
      </x:c>
      <x:c r="P51" s="24" t="str">
        <x:v>https://zh.wikisource.org/wiki/西游记/第三十三回</x:v>
      </x:c>
    </x:row>
    <x:row r="52">
      <x:c r="A52" s="24" t="str">
        <x:v>朱紫国王</x:v>
      </x:c>
      <x:c r="B52" s="24" t="str">
        <x:v>人间王权</x:v>
      </x:c>
      <x:c r="C52" s="24" t="n">
        <x:v>2</x:v>
      </x:c>
      <x:c r="D52" s="24" t="str">
        <x:v>边缘节点</x:v>
      </x:c>
      <x:c r="E52" s="24" t="str">
        <x:v>由人物关系表自动汇总；度数=作为关系A/B出现次数。</x:v>
      </x:c>
      <x:c r="F52" s="24"/>
      <x:c r="G52" s="24" t="str">
        <x:v>R047</x:v>
      </x:c>
      <x:c r="H52" s="24" t="str">
        <x:v>孙悟空</x:v>
      </x:c>
      <x:c r="I52" s="24" t="str">
        <x:v>骗宝/反制</x:v>
      </x:c>
      <x:c r="J52" s="24" t="str">
        <x:v>精细鬼、伶俐虫</x:v>
      </x:c>
      <x:c r="K52" s="24" t="str">
        <x:v>第34回</x:v>
      </x:c>
      <x:c r="L52" s="24" t="str">
        <x:v>取经团队</x:v>
      </x:c>
      <x:c r="M52" s="24" t="str">
        <x:v>莲花洞小妖</x:v>
      </x:c>
      <x:c r="N52" s="24" t="str">
        <x:v>核心能力→基层执行层</x:v>
      </x:c>
      <x:c r="O52" s="24" t="str">
        <x:v>待校核原文</x:v>
      </x:c>
      <x:c r="P52" s="24" t="str">
        <x:v>https://zh.wikisource.org/wiki/西游记/第三十四回</x:v>
      </x:c>
    </x:row>
    <x:row r="53">
      <x:c r="A53" s="24" t="str">
        <x:v>紫金铃</x:v>
      </x:c>
      <x:c r="B53" s="24" t="str">
        <x:v>法宝资源</x:v>
      </x:c>
      <x:c r="C53" s="24" t="n">
        <x:v>2</x:v>
      </x:c>
      <x:c r="D53" s="24" t="str">
        <x:v>边缘节点</x:v>
      </x:c>
      <x:c r="E53" s="24" t="str">
        <x:v>由人物关系表自动汇总；度数=作为关系A/B出现次数。</x:v>
      </x:c>
      <x:c r="F53" s="24"/>
      <x:c r="G53" s="24" t="str">
        <x:v>R048</x:v>
      </x:c>
      <x:c r="H53" s="24" t="str">
        <x:v>孙悟空</x:v>
      </x:c>
      <x:c r="I53" s="24" t="str">
        <x:v>获宝/降伏</x:v>
      </x:c>
      <x:c r="J53" s="24" t="str">
        <x:v>金角大王、银角大王</x:v>
      </x:c>
      <x:c r="K53" s="24" t="str">
        <x:v>第34—35回</x:v>
      </x:c>
      <x:c r="L53" s="24" t="str">
        <x:v>取经团队</x:v>
      </x:c>
      <x:c r="M53" s="24" t="str">
        <x:v>莲花洞妖怪</x:v>
      </x:c>
      <x:c r="N53" s="24" t="str">
        <x:v>核心能力→风险闭环</x:v>
      </x:c>
      <x:c r="O53" s="24" t="str">
        <x:v>待校核原文</x:v>
      </x:c>
      <x:c r="P53" s="24" t="str">
        <x:v>https://zh.wikisource.org/wiki/西游记/第三十五回</x:v>
      </x:c>
    </x:row>
    <x:row r="54">
      <x:c r="A54" s="24" t="str">
        <x:v>毗蓝婆菩萨</x:v>
      </x:c>
      <x:c r="B54" s="24" t="str">
        <x:v>佛门系统</x:v>
      </x:c>
      <x:c r="C54" s="24" t="n">
        <x:v>2</x:v>
      </x:c>
      <x:c r="D54" s="24" t="str">
        <x:v>边缘节点</x:v>
      </x:c>
      <x:c r="E54" s="24" t="str">
        <x:v>由人物关系表自动汇总；度数=作为关系A/B出现次数。</x:v>
      </x:c>
      <x:c r="F54" s="24"/>
      <x:c r="G54" s="24" t="str">
        <x:v>R049</x:v>
      </x:c>
      <x:c r="H54" s="24" t="str">
        <x:v>金角大王、银角大王</x:v>
      </x:c>
      <x:c r="I54" s="24" t="str">
        <x:v>后台/归属</x:v>
      </x:c>
      <x:c r="J54" s="24" t="str">
        <x:v>太上老君</x:v>
      </x:c>
      <x:c r="K54" s="24" t="str">
        <x:v>第35回</x:v>
      </x:c>
      <x:c r="L54" s="24" t="str">
        <x:v>妖怪外显</x:v>
      </x:c>
      <x:c r="M54" s="24" t="str">
        <x:v>道教仙府系统</x:v>
      </x:c>
      <x:c r="N54" s="24" t="str">
        <x:v>后台→妖怪</x:v>
      </x:c>
      <x:c r="O54" s="24" t="str">
        <x:v>待校核原文</x:v>
      </x:c>
      <x:c r="P54" s="24" t="str">
        <x:v>https://zh.wikisource.org/wiki/西游记/第三十五回</x:v>
      </x:c>
    </x:row>
    <x:row r="55">
      <x:c r="A55" s="24" t="str">
        <x:v>白象精</x:v>
      </x:c>
      <x:c r="B55" s="24" t="str">
        <x:v>普贤坐骑外溢</x:v>
      </x:c>
      <x:c r="C55" s="24" t="n">
        <x:v>2</x:v>
      </x:c>
      <x:c r="D55" s="24" t="str">
        <x:v>边缘节点</x:v>
      </x:c>
      <x:c r="E55" s="24" t="str">
        <x:v>由人物关系表自动汇总；度数=作为关系A/B出现次数。</x:v>
      </x:c>
      <x:c r="F55" s="24"/>
      <x:c r="G55" s="24" t="str">
        <x:v>R050</x:v>
      </x:c>
      <x:c r="H55" s="24" t="str">
        <x:v>太上老君</x:v>
      </x:c>
      <x:c r="I55" s="24" t="str">
        <x:v>收回/责任归位</x:v>
      </x:c>
      <x:c r="J55" s="24" t="str">
        <x:v>法宝与童子</x:v>
      </x:c>
      <x:c r="K55" s="24" t="str">
        <x:v>第35回</x:v>
      </x:c>
      <x:c r="L55" s="24" t="str">
        <x:v>道教仙府系统</x:v>
      </x:c>
      <x:c r="M55" s="24" t="str">
        <x:v>莲花洞风险对象</x:v>
      </x:c>
      <x:c r="N55" s="24" t="str">
        <x:v>上级→资源回收</x:v>
      </x:c>
      <x:c r="O55" s="24" t="str">
        <x:v>待校核原文</x:v>
      </x:c>
      <x:c r="P55" s="24" t="str">
        <x:v>https://zh.wikisource.org/wiki/西游记/第三十五回</x:v>
      </x:c>
    </x:row>
    <x:row r="56">
      <x:c r="A56" s="24" t="str">
        <x:v>大鹏金翅雕</x:v>
      </x:c>
      <x:c r="B56" s="24" t="str">
        <x:v>如来相关系统</x:v>
      </x:c>
      <x:c r="C56" s="24" t="n">
        <x:v>2</x:v>
      </x:c>
      <x:c r="D56" s="24" t="str">
        <x:v>边缘节点</x:v>
      </x:c>
      <x:c r="E56" s="24" t="str">
        <x:v>由人物关系表自动汇总；度数=作为关系A/B出现次数。</x:v>
      </x:c>
      <x:c r="F56" s="24"/>
      <x:c r="G56" s="24" t="str">
        <x:v>R050</x:v>
      </x:c>
      <x:c r="H56" s="24" t="str">
        <x:v>乌鸡国真王</x:v>
      </x:c>
      <x:c r="I56" s="24" t="str">
        <x:v>托梦申冤</x:v>
      </x:c>
      <x:c r="J56" s="24" t="str">
        <x:v>唐僧</x:v>
      </x:c>
      <x:c r="K56" s="24" t="str">
        <x:v>第36—37回</x:v>
      </x:c>
      <x:c r="L56" s="24" t="str">
        <x:v>人间王权系统</x:v>
      </x:c>
      <x:c r="M56" s="24" t="str">
        <x:v>取经团队</x:v>
      </x:c>
      <x:c r="N56" s="24" t="str">
        <x:v>诉求→受理</x:v>
      </x:c>
      <x:c r="O56" s="24" t="str">
        <x:v>待校核原文</x:v>
      </x:c>
      <x:c r="P56" s="24" t="str">
        <x:v>https://zh.wikisource.org/wiki/西游记/%E7%AC%AC%E4%B8%89%E5%8D%81%E5%85%AD%E5%9B%9E</x:v>
      </x:c>
    </x:row>
    <x:row r="57">
      <x:c r="A57" s="24" t="str">
        <x:v>比丘国王</x:v>
      </x:c>
      <x:c r="B57" s="24" t="str">
        <x:v>人间王权</x:v>
      </x:c>
      <x:c r="C57" s="24" t="n">
        <x:v>2</x:v>
      </x:c>
      <x:c r="D57" s="24" t="str">
        <x:v>边缘节点</x:v>
      </x:c>
      <x:c r="E57" s="24" t="str">
        <x:v>由人物关系表自动汇总；度数=作为关系A/B出现次数。</x:v>
      </x:c>
      <x:c r="F57" s="24"/>
      <x:c r="G57" s="24" t="str">
        <x:v>R051</x:v>
      </x:c>
      <x:c r="H57" s="24" t="str">
        <x:v>孙悟空</x:v>
      </x:c>
      <x:c r="I57" s="24" t="str">
        <x:v>调查引导</x:v>
      </x:c>
      <x:c r="J57" s="24" t="str">
        <x:v>乌鸡国太子</x:v>
      </x:c>
      <x:c r="K57" s="24" t="str">
        <x:v>第37回</x:v>
      </x:c>
      <x:c r="L57" s="24" t="str">
        <x:v>取经团队</x:v>
      </x:c>
      <x:c r="M57" s="24" t="str">
        <x:v>人间王权系统</x:v>
      </x:c>
      <x:c r="N57" s="24" t="str">
        <x:v>调查→证人</x:v>
      </x:c>
      <x:c r="O57" s="24" t="str">
        <x:v>待校核原文</x:v>
      </x:c>
      <x:c r="P57" s="24" t="str">
        <x:v>https://zh.wikisource.org/wiki/西游记/%E7%AC%AC%E4%B8%89%E5%8D%81%E4%B8%83%E5%9B%9E</x:v>
      </x:c>
    </x:row>
    <x:row r="58">
      <x:c r="A58" s="24" t="str">
        <x:v>托塔天王</x:v>
      </x:c>
      <x:c r="B58" s="24" t="str">
        <x:v>天庭系统</x:v>
      </x:c>
      <x:c r="C58" s="24" t="n">
        <x:v>2</x:v>
      </x:c>
      <x:c r="D58" s="24" t="str">
        <x:v>边缘节点</x:v>
      </x:c>
      <x:c r="E58" s="24" t="str">
        <x:v>由人物关系表自动汇总；度数=作为关系A/B出现次数。</x:v>
      </x:c>
      <x:c r="F58" s="24"/>
      <x:c r="G58" s="24" t="str">
        <x:v>R052</x:v>
      </x:c>
      <x:c r="H58" s="24" t="str">
        <x:v>乌鸡国太子</x:v>
      </x:c>
      <x:c r="I58" s="24" t="str">
        <x:v>问询/核验</x:v>
      </x:c>
      <x:c r="J58" s="24" t="str">
        <x:v>乌鸡国王后</x:v>
      </x:c>
      <x:c r="K58" s="24" t="str">
        <x:v>第38回</x:v>
      </x:c>
      <x:c r="L58" s="24" t="str">
        <x:v>人间王权系统</x:v>
      </x:c>
      <x:c r="M58" s="24" t="str">
        <x:v>人间王权系统</x:v>
      </x:c>
      <x:c r="N58" s="24" t="str">
        <x:v>证人→证人</x:v>
      </x:c>
      <x:c r="O58" s="24" t="str">
        <x:v>待校核原文</x:v>
      </x:c>
      <x:c r="P58" s="24" t="str">
        <x:v>https://zh.wikisource.org/wiki/西游记/%E7%AC%AC%E4%B8%89%E5%8D%81%E5%85%AB%E5%9B%9E</x:v>
      </x:c>
    </x:row>
    <x:row r="59">
      <x:c r="A59" s="24" t="str">
        <x:v>灭法国王</x:v>
      </x:c>
      <x:c r="B59" s="24" t="str">
        <x:v>人间王权系统</x:v>
      </x:c>
      <x:c r="C59" s="24" t="n">
        <x:v>2</x:v>
      </x:c>
      <x:c r="D59" s="24" t="str">
        <x:v>边缘节点</x:v>
      </x:c>
      <x:c r="E59" s="24" t="str">
        <x:v>由人物关系表自动汇总；度数=作为关系A/B出现次数。</x:v>
      </x:c>
      <x:c r="F59" s="24"/>
      <x:c r="G59" s="24" t="str">
        <x:v>R053</x:v>
      </x:c>
      <x:c r="H59" s="24" t="str">
        <x:v>猪八戒</x:v>
      </x:c>
      <x:c r="I59" s="24" t="str">
        <x:v>现场取证</x:v>
      </x:c>
      <x:c r="J59" s="24" t="str">
        <x:v>井中尸身</x:v>
      </x:c>
      <x:c r="K59" s="24" t="str">
        <x:v>第38回</x:v>
      </x:c>
      <x:c r="L59" s="24" t="str">
        <x:v>取经团队</x:v>
      </x:c>
      <x:c r="M59" s="24" t="str">
        <x:v>证据对象</x:v>
      </x:c>
      <x:c r="N59" s="24" t="str">
        <x:v>执行→证据</x:v>
      </x:c>
      <x:c r="O59" s="24" t="str">
        <x:v>待校核原文</x:v>
      </x:c>
      <x:c r="P59" s="24" t="str">
        <x:v>https://zh.wikisource.org/wiki/西游记/%E7%AC%AC%E4%B8%89%E5%8D%81%E5%85%AB%E5%9B%9E</x:v>
      </x:c>
    </x:row>
    <x:row r="60">
      <x:c r="A60" s="24" t="str">
        <x:v>凤仙郡侯</x:v>
      </x:c>
      <x:c r="B60" s="24" t="str">
        <x:v>人间地方治理系统</x:v>
      </x:c>
      <x:c r="C60" s="24" t="n">
        <x:v>2</x:v>
      </x:c>
      <x:c r="D60" s="24" t="str">
        <x:v>边缘节点</x:v>
      </x:c>
      <x:c r="E60" s="24" t="str">
        <x:v>由人物关系表自动汇总；度数=作为关系A/B出现次数。</x:v>
      </x:c>
      <x:c r="F60" s="24"/>
      <x:c r="G60" s="24" t="str">
        <x:v>R054</x:v>
      </x:c>
      <x:c r="H60" s="24" t="str">
        <x:v>井龙王</x:v>
      </x:c>
      <x:c r="I60" s="24" t="str">
        <x:v>保全/交付证据</x:v>
      </x:c>
      <x:c r="J60" s="24" t="str">
        <x:v>乌鸡国真王尸身</x:v>
      </x:c>
      <x:c r="K60" s="24" t="str">
        <x:v>第38回</x:v>
      </x:c>
      <x:c r="L60" s="24" t="str">
        <x:v>地方神祇系统</x:v>
      </x:c>
      <x:c r="M60" s="24" t="str">
        <x:v>证据对象</x:v>
      </x:c>
      <x:c r="N60" s="24" t="str">
        <x:v>保全→证据</x:v>
      </x:c>
      <x:c r="O60" s="24" t="str">
        <x:v>待校核原文</x:v>
      </x:c>
      <x:c r="P60" s="24" t="str">
        <x:v>https://zh.wikisource.org/wiki/西游记/%E7%AC%AC%E4%B8%89%E5%8D%81%E5%85%AB%E5%9B%9E</x:v>
      </x:c>
    </x:row>
    <x:row r="61">
      <x:c r="A61" s="24" t="str">
        <x:v>九灵元圣</x:v>
      </x:c>
      <x:c r="B61" s="24" t="str">
        <x:v>太乙救苦天尊系统下游</x:v>
      </x:c>
      <x:c r="C61" s="24" t="n">
        <x:v>2</x:v>
      </x:c>
      <x:c r="D61" s="24" t="str">
        <x:v>边缘节点</x:v>
      </x:c>
      <x:c r="E61" s="24" t="str">
        <x:v>由人物关系表自动汇总；度数=作为关系A/B出现次数。</x:v>
      </x:c>
      <x:c r="F61" s="24"/>
      <x:c r="G61" s="24" t="str">
        <x:v>R055</x:v>
      </x:c>
      <x:c r="H61" s="24" t="str">
        <x:v>孙悟空</x:v>
      </x:c>
      <x:c r="I61" s="24" t="str">
        <x:v>求取金丹</x:v>
      </x:c>
      <x:c r="J61" s="24" t="str">
        <x:v>太上老君</x:v>
      </x:c>
      <x:c r="K61" s="24" t="str">
        <x:v>第39回</x:v>
      </x:c>
      <x:c r="L61" s="24" t="str">
        <x:v>取经团队</x:v>
      </x:c>
      <x:c r="M61" s="24" t="str">
        <x:v>道教天庭系统</x:v>
      </x:c>
      <x:c r="N61" s="24" t="str">
        <x:v>求援→资源</x:v>
      </x:c>
      <x:c r="O61" s="24" t="str">
        <x:v>待校核原文</x:v>
      </x:c>
      <x:c r="P61" s="24" t="str">
        <x:v>https://zh.wikisource.org/wiki/西游记/%E7%AC%AC%E4%B8%89%E5%8D%81%E4%B9%9D%E5%9B%9E</x:v>
      </x:c>
    </x:row>
    <x:row r="62">
      <x:c r="A62" s="24" t="str">
        <x:v>太乙救苦天尊</x:v>
      </x:c>
      <x:c r="B62" s="24" t="str">
        <x:v>道教神祇系统</x:v>
      </x:c>
      <x:c r="C62" s="24" t="n">
        <x:v>2</x:v>
      </x:c>
      <x:c r="D62" s="24" t="str">
        <x:v>边缘节点</x:v>
      </x:c>
      <x:c r="E62" s="24" t="str">
        <x:v>由人物关系表自动汇总；度数=作为关系A/B出现次数。</x:v>
      </x:c>
      <x:c r="F62" s="24"/>
      <x:c r="G62" s="24" t="str">
        <x:v>R056</x:v>
      </x:c>
      <x:c r="H62" s="24" t="str">
        <x:v>假王/青毛狮子</x:v>
      </x:c>
      <x:c r="I62" s="24" t="str">
        <x:v>后台归属</x:v>
      </x:c>
      <x:c r="J62" s="24" t="str">
        <x:v>文殊菩萨</x:v>
      </x:c>
      <x:c r="K62" s="24" t="str">
        <x:v>第39回</x:v>
      </x:c>
      <x:c r="L62" s="24" t="str">
        <x:v>妖怪/坐骑</x:v>
      </x:c>
      <x:c r="M62" s="24" t="str">
        <x:v>灵山系统</x:v>
      </x:c>
      <x:c r="N62" s="24" t="str">
        <x:v>坐骑→后台</x:v>
      </x:c>
      <x:c r="O62" s="24" t="str">
        <x:v>待校核原文</x:v>
      </x:c>
      <x:c r="P62" s="24" t="str">
        <x:v>https://zh.wikisource.org/wiki/西游记/%E7%AC%AC%E4%B8%89%E5%8D%81%E4%B9%9D%E5%9B%9E</x:v>
      </x:c>
    </x:row>
    <x:row r="63">
      <x:c r="A63" s="24" t="str">
        <x:v>四木禽星</x:v>
      </x:c>
      <x:c r="B63" s="24" t="str">
        <x:v>天庭星宿系统</x:v>
      </x:c>
      <x:c r="C63" s="24" t="n">
        <x:v>2</x:v>
      </x:c>
      <x:c r="D63" s="24" t="str">
        <x:v>边缘节点</x:v>
      </x:c>
      <x:c r="E63" s="24" t="str">
        <x:v>由人物关系表自动汇总；度数=作为关系A/B出现次数。</x:v>
      </x:c>
      <x:c r="F63" s="24"/>
      <x:c r="G63" s="24" t="str">
        <x:v>R057</x:v>
      </x:c>
      <x:c r="H63" s="24" t="str">
        <x:v>乌鸡国真王</x:v>
      </x:c>
      <x:c r="I63" s="24" t="str">
        <x:v>复位/合法性恢复</x:v>
      </x:c>
      <x:c r="J63" s="24" t="str">
        <x:v>乌鸡国</x:v>
      </x:c>
      <x:c r="K63" s="24" t="str">
        <x:v>第39回</x:v>
      </x:c>
      <x:c r="L63" s="24" t="str">
        <x:v>人间王权系统</x:v>
      </x:c>
      <x:c r="M63" s="24" t="str">
        <x:v>人间王国</x:v>
      </x:c>
      <x:c r="N63" s="24" t="str">
        <x:v>主体→制度</x:v>
      </x:c>
      <x:c r="O63" s="24" t="str">
        <x:v>待校核原文</x:v>
      </x:c>
      <x:c r="P63" s="24" t="str">
        <x:v>https://zh.wikisource.org/wiki/西游记/%E7%AC%AC%E4%B8%89%E5%8D%81%E4%B9%9D%E5%9B%9E</x:v>
      </x:c>
    </x:row>
    <x:row r="64">
      <x:c r="A64" s="24" t="str">
        <x:v>寇员外</x:v>
      </x:c>
      <x:c r="B64" s="24" t="str">
        <x:v>地方善信</x:v>
      </x:c>
      <x:c r="C64" s="24" t="n">
        <x:v>2</x:v>
      </x:c>
      <x:c r="D64" s="24" t="str">
        <x:v>边缘节点</x:v>
      </x:c>
      <x:c r="E64" s="24" t="str">
        <x:v>由人物关系表自动汇总；度数=作为关系A/B出现次数。</x:v>
      </x:c>
      <x:c r="F64" s="24"/>
      <x:c r="G64" s="24" t="str">
        <x:v>R059</x:v>
      </x:c>
      <x:c r="H64" s="24" t="str">
        <x:v>红孩儿</x:v>
      </x:c>
      <x:c r="I64" s="24" t="str">
        <x:v>父子/家族来源</x:v>
      </x:c>
      <x:c r="J64" s="24" t="str">
        <x:v>牛魔王</x:v>
      </x:c>
      <x:c r="K64" s="24" t="str">
        <x:v>第40—42回</x:v>
      </x:c>
      <x:c r="L64" s="24" t="str">
        <x:v>火云洞/妖族家族</x:v>
      </x:c>
      <x:c r="M64" s="24" t="str">
        <x:v>牛魔王家族</x:v>
      </x:c>
      <x:c r="N64" s="24" t="str">
        <x:v>家族关系</x:v>
      </x:c>
      <x:c r="O64" s="24" t="str">
        <x:v>待校核原文</x:v>
      </x:c>
      <x:c r="P64" s="24" t="str">
        <x:v>https://zh.wikisource.org/wiki/西游记/第四十回</x:v>
      </x:c>
    </x:row>
    <x:row r="65">
      <x:c r="A65" s="24" t="str">
        <x:v>猪刚鬣</x:v>
      </x:c>
      <x:c r="B65" s="24" t="str">
        <x:v>贬谪天将</x:v>
      </x:c>
      <x:c r="C65" s="24" t="n">
        <x:v>1</x:v>
      </x:c>
      <x:c r="D65" s="24" t="str">
        <x:v>边缘节点</x:v>
      </x:c>
      <x:c r="E65" s="24" t="str">
        <x:v>由人物关系表自动汇总；度数=作为关系A/B出现次数。</x:v>
      </x:c>
      <x:c r="F65" s="24"/>
      <x:c r="G65" s="24" t="str">
        <x:v>R060</x:v>
      </x:c>
      <x:c r="H65" s="24" t="str">
        <x:v>红孩儿</x:v>
      </x:c>
      <x:c r="I65" s="24" t="str">
        <x:v>母子/资源伏笔</x:v>
      </x:c>
      <x:c r="J65" s="24" t="str">
        <x:v>铁扇公主</x:v>
      </x:c>
      <x:c r="K65" s="24" t="str">
        <x:v>第40—42回</x:v>
      </x:c>
      <x:c r="L65" s="24" t="str">
        <x:v>火云洞/妖族家族</x:v>
      </x:c>
      <x:c r="M65" s="24" t="str">
        <x:v>牛魔王家族</x:v>
      </x:c>
      <x:c r="N65" s="24" t="str">
        <x:v>家族关系/后续伏笔</x:v>
      </x:c>
      <x:c r="O65" s="24" t="str">
        <x:v>待校核原文</x:v>
      </x:c>
      <x:c r="P65" s="24" t="str">
        <x:v>https://zh.wikisource.org/wiki/西游记/第四十回</x:v>
      </x:c>
    </x:row>
    <x:row r="66">
      <x:c r="A66" s="24" t="str">
        <x:v>殷温娇</x:v>
      </x:c>
      <x:c r="B66" s="24" t="str">
        <x:v>人间官眷</x:v>
      </x:c>
      <x:c r="C66" s="24" t="n">
        <x:v>1</x:v>
      </x:c>
      <x:c r="D66" s="24" t="str">
        <x:v>边缘节点</x:v>
      </x:c>
      <x:c r="E66" s="24" t="str">
        <x:v>由人物关系表自动汇总；度数=作为关系A/B出现次数。</x:v>
      </x:c>
      <x:c r="F66" s="24"/>
      <x:c r="G66" s="24" t="str">
        <x:v>R061</x:v>
      </x:c>
      <x:c r="H66" s="24" t="str">
        <x:v>红孩儿</x:v>
      </x:c>
      <x:c r="I66" s="24" t="str">
        <x:v>伪装/诱捕</x:v>
      </x:c>
      <x:c r="J66" s="24" t="str">
        <x:v>猪八戒</x:v>
      </x:c>
      <x:c r="K66" s="24" t="str">
        <x:v>第41回</x:v>
      </x:c>
      <x:c r="L66" s="24" t="str">
        <x:v>火云洞</x:v>
      </x:c>
      <x:c r="M66" s="24" t="str">
        <x:v>取经团队</x:v>
      </x:c>
      <x:c r="N66" s="24" t="str">
        <x:v>欺骗→擒获</x:v>
      </x:c>
      <x:c r="O66" s="24" t="str">
        <x:v>待校核原文</x:v>
      </x:c>
      <x:c r="P66" s="24" t="str">
        <x:v>https://zh.wikisource.org/wiki/西游记/第四十一回</x:v>
      </x:c>
    </x:row>
    <x:row r="67">
      <x:c r="A67" s="24" t="str">
        <x:v>刘洪</x:v>
      </x:c>
      <x:c r="B67" s="24" t="str">
        <x:v>人间恶人</x:v>
      </x:c>
      <x:c r="C67" s="24" t="n">
        <x:v>1</x:v>
      </x:c>
      <x:c r="D67" s="24" t="str">
        <x:v>边缘节点</x:v>
      </x:c>
      <x:c r="E67" s="24" t="str">
        <x:v>由人物关系表自动汇总；度数=作为关系A/B出现次数。</x:v>
      </x:c>
      <x:c r="F67" s="24"/>
      <x:c r="G67" s="24" t="str">
        <x:v>R062</x:v>
      </x:c>
      <x:c r="H67" s="24" t="str">
        <x:v>孙悟空</x:v>
      </x:c>
      <x:c r="I67" s="24" t="str">
        <x:v>求援/授权救助</x:v>
      </x:c>
      <x:c r="J67" s="24" t="str">
        <x:v>观音</x:v>
      </x:c>
      <x:c r="K67" s="24" t="str">
        <x:v>第42回</x:v>
      </x:c>
      <x:c r="L67" s="24" t="str">
        <x:v>取经团队</x:v>
      </x:c>
      <x:c r="M67" s="24" t="str">
        <x:v>灵山系统</x:v>
      </x:c>
      <x:c r="N67" s="24" t="str">
        <x:v>求援→收束</x:v>
      </x:c>
      <x:c r="O67" s="24" t="str">
        <x:v>待校核原文</x:v>
      </x:c>
      <x:c r="P67" s="24" t="str">
        <x:v>https://zh.wikisource.org/wiki/西游记/第四十二回</x:v>
      </x:c>
    </x:row>
    <x:row r="68">
      <x:c r="A68" s="24" t="str">
        <x:v>袁守诚</x:v>
      </x:c>
      <x:c r="B68" s="24" t="str">
        <x:v>人间术士</x:v>
      </x:c>
      <x:c r="C68" s="24" t="n">
        <x:v>1</x:v>
      </x:c>
      <x:c r="D68" s="24" t="str">
        <x:v>边缘节点</x:v>
      </x:c>
      <x:c r="E68" s="24" t="str">
        <x:v>由人物关系表自动汇总；度数=作为关系A/B出现次数。</x:v>
      </x:c>
      <x:c r="F68" s="24"/>
      <x:c r="G68" s="24" t="str">
        <x:v>R063</x:v>
      </x:c>
      <x:c r="H68" s="24" t="str">
        <x:v>观音</x:v>
      </x:c>
      <x:c r="I68" s="24" t="str">
        <x:v>收编/转化</x:v>
      </x:c>
      <x:c r="J68" s="24" t="str">
        <x:v>红孩儿</x:v>
      </x:c>
      <x:c r="K68" s="24" t="str">
        <x:v>第42回</x:v>
      </x:c>
      <x:c r="L68" s="24" t="str">
        <x:v>灵山系统</x:v>
      </x:c>
      <x:c r="M68" s="24" t="str">
        <x:v>火云洞</x:v>
      </x:c>
      <x:c r="N68" s="24" t="str">
        <x:v>收编→转化</x:v>
      </x:c>
      <x:c r="O68" s="24" t="str">
        <x:v>待校核原文</x:v>
      </x:c>
      <x:c r="P68" s="24" t="str">
        <x:v>https://zh.wikisource.org/wiki/西游记/第四十二回</x:v>
      </x:c>
    </x:row>
    <x:row r="69">
      <x:c r="A69" s="24" t="str">
        <x:v>魏征</x:v>
      </x:c>
      <x:c r="B69" s="24" t="str">
        <x:v>唐朝朝廷/天命执行者</x:v>
      </x:c>
      <x:c r="C69" s="24" t="n">
        <x:v>1</x:v>
      </x:c>
      <x:c r="D69" s="24" t="str">
        <x:v>边缘节点</x:v>
      </x:c>
      <x:c r="E69" s="24" t="str">
        <x:v>由人物关系表自动汇总；度数=作为关系A/B出现次数。</x:v>
      </x:c>
      <x:c r="F69" s="24"/>
      <x:c r="G69" s="24" t="str">
        <x:v>R064</x:v>
      </x:c>
      <x:c r="H69" s="24" t="str">
        <x:v>鼍龙</x:v>
      </x:c>
      <x:c r="I69" s="24" t="str">
        <x:v>亲属/后台</x:v>
      </x:c>
      <x:c r="J69" s="24" t="str">
        <x:v>西海龙王</x:v>
      </x:c>
      <x:c r="K69" s="24" t="str">
        <x:v>第43回</x:v>
      </x:c>
      <x:c r="L69" s="24" t="str">
        <x:v>黑水河</x:v>
      </x:c>
      <x:c r="M69" s="24" t="str">
        <x:v>西海龙宫</x:v>
      </x:c>
      <x:c r="N69" s="24" t="str">
        <x:v>亲属后台</x:v>
      </x:c>
      <x:c r="O69" s="24" t="str">
        <x:v>待校核原文</x:v>
      </x:c>
      <x:c r="P69" s="24" t="str">
        <x:v>https://zh.wikisource.org/wiki/西游记/第四十三回</x:v>
      </x:c>
    </x:row>
    <x:row r="70">
      <x:c r="A70" s="24" t="str">
        <x:v>十殿阎王</x:v>
      </x:c>
      <x:c r="B70" s="24" t="str">
        <x:v>地府系统</x:v>
      </x:c>
      <x:c r="C70" s="24" t="n">
        <x:v>1</x:v>
      </x:c>
      <x:c r="D70" s="24" t="str">
        <x:v>边缘节点</x:v>
      </x:c>
      <x:c r="E70" s="24" t="str">
        <x:v>由人物关系表自动汇总；度数=作为关系A/B出现次数。</x:v>
      </x:c>
      <x:c r="F70" s="24"/>
      <x:c r="G70" s="24" t="str">
        <x:v>R065</x:v>
      </x:c>
      <x:c r="H70" s="24" t="str">
        <x:v>摩昂太子</x:v>
      </x:c>
      <x:c r="I70" s="24" t="str">
        <x:v>收束/执行</x:v>
      </x:c>
      <x:c r="J70" s="24" t="str">
        <x:v>鼍龙</x:v>
      </x:c>
      <x:c r="K70" s="24" t="str">
        <x:v>第43回</x:v>
      </x:c>
      <x:c r="L70" s="24" t="str">
        <x:v>西海龙宫</x:v>
      </x:c>
      <x:c r="M70" s="24" t="str">
        <x:v>黑水河</x:v>
      </x:c>
      <x:c r="N70" s="24" t="str">
        <x:v>执行→收回</x:v>
      </x:c>
      <x:c r="O70" s="24" t="str">
        <x:v>待校核原文</x:v>
      </x:c>
      <x:c r="P70" s="24" t="str">
        <x:v>https://zh.wikisource.org/wiki/西游记/第四十三回</x:v>
      </x:c>
    </x:row>
    <x:row r="71">
      <x:c r="A71" s="24" t="str">
        <x:v>太白金星</x:v>
      </x:c>
      <x:c r="B71" s="24" t="str">
        <x:v>天庭系统</x:v>
      </x:c>
      <x:c r="C71" s="24" t="n">
        <x:v>1</x:v>
      </x:c>
      <x:c r="D71" s="24" t="str">
        <x:v>边缘节点</x:v>
      </x:c>
      <x:c r="E71" s="24" t="str">
        <x:v>由人物关系表自动汇总；度数=作为关系A/B出现次数。</x:v>
      </x:c>
      <x:c r="F71" s="24"/>
      <x:c r="G71" s="24" t="str">
        <x:v>R066</x:v>
      </x:c>
      <x:c r="H71" s="24" t="str">
        <x:v>车迟国王</x:v>
      </x:c>
      <x:c r="I71" s="24" t="str">
        <x:v>授权/宠信</x:v>
      </x:c>
      <x:c r="J71" s="24" t="str">
        <x:v>虎力鹿力羊力大仙</x:v>
      </x:c>
      <x:c r="K71" s="24" t="str">
        <x:v>第44—46回</x:v>
      </x:c>
      <x:c r="L71" s="24" t="str">
        <x:v>车迟国王权</x:v>
      </x:c>
      <x:c r="M71" s="24" t="str">
        <x:v>伪宗教权威</x:v>
      </x:c>
      <x:c r="N71" s="24" t="str">
        <x:v>王权→授权</x:v>
      </x:c>
      <x:c r="O71" s="24" t="str">
        <x:v>待校核原文</x:v>
      </x:c>
      <x:c r="P71" s="24" t="str">
        <x:v>https://zh.wikisource.org/wiki/西游记/第四十四回</x:v>
      </x:c>
    </x:row>
    <x:row r="72">
      <x:c r="A72" s="24" t="str">
        <x:v>刘伯钦</x:v>
      </x:c>
      <x:c r="B72" s="24" t="str">
        <x:v>地方猎户</x:v>
      </x:c>
      <x:c r="C72" s="24" t="n">
        <x:v>1</x:v>
      </x:c>
      <x:c r="D72" s="24" t="str">
        <x:v>边缘节点</x:v>
      </x:c>
      <x:c r="E72" s="24" t="str">
        <x:v>由人物关系表自动汇总；度数=作为关系A/B出现次数。</x:v>
      </x:c>
      <x:c r="F72" s="24"/>
      <x:c r="G72" s="24" t="str">
        <x:v>R067</x:v>
      </x:c>
      <x:c r="H72" s="24" t="str">
        <x:v>孙悟空</x:v>
      </x:c>
      <x:c r="I72" s="24" t="str">
        <x:v>揭露/斗法</x:v>
      </x:c>
      <x:c r="J72" s="24" t="str">
        <x:v>虎力鹿力羊力大仙</x:v>
      </x:c>
      <x:c r="K72" s="24" t="str">
        <x:v>第44—46回</x:v>
      </x:c>
      <x:c r="L72" s="24" t="str">
        <x:v>取经团队</x:v>
      </x:c>
      <x:c r="M72" s="24" t="str">
        <x:v>车迟国妖道</x:v>
      </x:c>
      <x:c r="N72" s="24" t="str">
        <x:v>验证→现形</x:v>
      </x:c>
      <x:c r="O72" s="24" t="str">
        <x:v>待校核原文</x:v>
      </x:c>
      <x:c r="P72" s="24" t="str">
        <x:v>https://zh.wikisource.org/wiki/西游记/第四十六回</x:v>
      </x:c>
    </x:row>
    <x:row r="73">
      <x:c r="A73" s="24" t="str">
        <x:v>金池长老</x:v>
      </x:c>
      <x:c r="B73" s="24" t="str">
        <x:v>观音院</x:v>
      </x:c>
      <x:c r="C73" s="24" t="n">
        <x:v>1</x:v>
      </x:c>
      <x:c r="D73" s="24" t="str">
        <x:v>边缘节点</x:v>
      </x:c>
      <x:c r="E73" s="24" t="str">
        <x:v>由人物关系表自动汇总；度数=作为关系A/B出现次数。</x:v>
      </x:c>
      <x:c r="F73" s="24"/>
      <x:c r="G73" s="24" t="str">
        <x:v>R068</x:v>
      </x:c>
      <x:c r="H73" s="24" t="str">
        <x:v>灵感大王</x:v>
      </x:c>
      <x:c r="I73" s="24" t="str">
        <x:v>索祭/压迫</x:v>
      </x:c>
      <x:c r="J73" s="24" t="str">
        <x:v>陈家庄百姓</x:v>
      </x:c>
      <x:c r="K73" s="24" t="str">
        <x:v>第47—49回</x:v>
      </x:c>
      <x:c r="L73" s="24" t="str">
        <x:v>观音莲池外溢</x:v>
      </x:c>
      <x:c r="M73" s="24" t="str">
        <x:v>人间地方社会</x:v>
      </x:c>
      <x:c r="N73" s="24" t="str">
        <x:v>压迫→受害</x:v>
      </x:c>
      <x:c r="O73" s="24" t="str">
        <x:v>待校核原文</x:v>
      </x:c>
      <x:c r="P73" s="24" t="str">
        <x:v>https://zh.wikisource.org/wiki/西游记/第四十七回</x:v>
      </x:c>
    </x:row>
    <x:row r="74">
      <x:c r="A74" s="24" t="str">
        <x:v>乌巢禅师</x:v>
      </x:c>
      <x:c r="B74" s="24" t="str">
        <x:v>佛门/高人系统</x:v>
      </x:c>
      <x:c r="C74" s="24" t="n">
        <x:v>1</x:v>
      </x:c>
      <x:c r="D74" s="24" t="str">
        <x:v>边缘节点</x:v>
      </x:c>
      <x:c r="E74" s="24" t="str">
        <x:v>由人物关系表自动汇总；度数=作为关系A/B出现次数。</x:v>
      </x:c>
      <x:c r="F74" s="24"/>
      <x:c r="G74" s="24" t="str">
        <x:v>R069</x:v>
      </x:c>
      <x:c r="H74" s="24" t="str">
        <x:v>孙悟空、猪八戒</x:v>
      </x:c>
      <x:c r="I74" s="24" t="str">
        <x:v>替身救童/风险介入</x:v>
      </x:c>
      <x:c r="J74" s="24" t="str">
        <x:v>陈家庄小童</x:v>
      </x:c>
      <x:c r="K74" s="24" t="str">
        <x:v>第47回</x:v>
      </x:c>
      <x:c r="L74" s="24" t="str">
        <x:v>取经团队</x:v>
      </x:c>
      <x:c r="M74" s="24" t="str">
        <x:v>人间地方社会</x:v>
      </x:c>
      <x:c r="N74" s="24" t="str">
        <x:v>救援→民生</x:v>
      </x:c>
      <x:c r="O74" s="24" t="str">
        <x:v>待校核原文</x:v>
      </x:c>
      <x:c r="P74" s="24" t="str">
        <x:v>https://zh.wikisource.org/wiki/西游记/第四十七回</x:v>
      </x:c>
    </x:row>
    <x:row r="75">
      <x:c r="A75" s="24" t="str">
        <x:v>灵吉菩萨</x:v>
      </x:c>
      <x:c r="B75" s="24" t="str">
        <x:v>灵山系统</x:v>
      </x:c>
      <x:c r="C75" s="24" t="n">
        <x:v>1</x:v>
      </x:c>
      <x:c r="D75" s="24" t="str">
        <x:v>边缘节点</x:v>
      </x:c>
      <x:c r="E75" s="24" t="str">
        <x:v>由人物关系表自动汇总；度数=作为关系A/B出现次数。</x:v>
      </x:c>
      <x:c r="F75" s="24"/>
      <x:c r="G75" s="24" t="str">
        <x:v>R070</x:v>
      </x:c>
      <x:c r="H75" s="24" t="str">
        <x:v>灵感大王</x:v>
      </x:c>
      <x:c r="I75" s="24" t="str">
        <x:v>擒拿</x:v>
      </x:c>
      <x:c r="J75" s="24" t="str">
        <x:v>唐僧</x:v>
      </x:c>
      <x:c r="K75" s="24" t="str">
        <x:v>第48回</x:v>
      </x:c>
      <x:c r="L75" s="24" t="str">
        <x:v>观音莲池外溢</x:v>
      </x:c>
      <x:c r="M75" s="24" t="str">
        <x:v>取经团队</x:v>
      </x:c>
      <x:c r="N75" s="24" t="str">
        <x:v>妖患→目标劫持</x:v>
      </x:c>
      <x:c r="O75" s="24" t="str">
        <x:v>待校核原文</x:v>
      </x:c>
      <x:c r="P75" s="24" t="str">
        <x:v>https://zh.wikisource.org/wiki/西游记/第四十八回</x:v>
      </x:c>
    </x:row>
    <x:row r="76">
      <x:c r="A76" s="24" t="str">
        <x:v>木叉</x:v>
      </x:c>
      <x:c r="B76" s="24" t="str">
        <x:v>观音系统</x:v>
      </x:c>
      <x:c r="C76" s="24" t="n">
        <x:v>1</x:v>
      </x:c>
      <x:c r="D76" s="24" t="str">
        <x:v>边缘节点</x:v>
      </x:c>
      <x:c r="E76" s="24" t="str">
        <x:v>由人物关系表自动汇总；度数=作为关系A/B出现次数。</x:v>
      </x:c>
      <x:c r="F76" s="24"/>
      <x:c r="G76" s="24" t="str">
        <x:v>R071</x:v>
      </x:c>
      <x:c r="H76" s="24" t="str">
        <x:v>孙悟空</x:v>
      </x:c>
      <x:c r="I76" s="24" t="str">
        <x:v>求援</x:v>
      </x:c>
      <x:c r="J76" s="24" t="str">
        <x:v>观音</x:v>
      </x:c>
      <x:c r="K76" s="24" t="str">
        <x:v>第49回</x:v>
      </x:c>
      <x:c r="L76" s="24" t="str">
        <x:v>取经团队</x:v>
      </x:c>
      <x:c r="M76" s="24" t="str">
        <x:v>灵山/观音系统</x:v>
      </x:c>
      <x:c r="N76" s="24" t="str">
        <x:v>求援→收束</x:v>
      </x:c>
      <x:c r="O76" s="24" t="str">
        <x:v>待校核原文</x:v>
      </x:c>
      <x:c r="P76" s="24" t="str">
        <x:v>https://zh.wikisource.org/wiki/西游记/第四十九回</x:v>
      </x:c>
    </x:row>
    <x:row r="77">
      <x:c r="A77" s="24" t="str">
        <x:v>镇元大仙</x:v>
      </x:c>
      <x:c r="B77" s="24" t="str">
        <x:v>五庄观系统</x:v>
      </x:c>
      <x:c r="C77" s="24" t="n">
        <x:v>1</x:v>
      </x:c>
      <x:c r="D77" s="24" t="str">
        <x:v>边缘节点</x:v>
      </x:c>
      <x:c r="E77" s="24" t="str">
        <x:v>由人物关系表自动汇总；度数=作为关系A/B出现次数。</x:v>
      </x:c>
      <x:c r="F77" s="24"/>
      <x:c r="G77" s="24" t="str">
        <x:v>R072</x:v>
      </x:c>
      <x:c r="H77" s="24" t="str">
        <x:v>灵感大王</x:v>
      </x:c>
      <x:c r="I77" s="24" t="str">
        <x:v>来源/归属</x:v>
      </x:c>
      <x:c r="J77" s="24" t="str">
        <x:v>观音莲池</x:v>
      </x:c>
      <x:c r="K77" s="24" t="str">
        <x:v>第49回</x:v>
      </x:c>
      <x:c r="L77" s="24" t="str">
        <x:v>妖怪</x:v>
      </x:c>
      <x:c r="M77" s="24" t="str">
        <x:v>灵山/观音系统</x:v>
      </x:c>
      <x:c r="N77" s="24" t="str">
        <x:v>后台归属</x:v>
      </x:c>
      <x:c r="O77" s="24" t="str">
        <x:v>待校核原文</x:v>
      </x:c>
      <x:c r="P77" s="24" t="str">
        <x:v>https://zh.wikisource.org/wiki/西游记/第四十九回</x:v>
      </x:c>
    </x:row>
    <x:row r="78">
      <x:c r="A78" s="24" t="str">
        <x:v>人参果树</x:v>
      </x:c>
      <x:c r="B78" s="24" t="str">
        <x:v>五庄观资源</x:v>
      </x:c>
      <x:c r="C78" s="24" t="n">
        <x:v>1</x:v>
      </x:c>
      <x:c r="D78" s="24" t="str">
        <x:v>边缘节点</x:v>
      </x:c>
      <x:c r="E78" s="24" t="str">
        <x:v>由人物关系表自动汇总；度数=作为关系A/B出现次数。</x:v>
      </x:c>
      <x:c r="F78" s="24"/>
      <x:c r="G78" s="24" t="str">
        <x:v>R073</x:v>
      </x:c>
      <x:c r="H78" s="24" t="str">
        <x:v>独角兕大王</x:v>
      </x:c>
      <x:c r="I78" s="24" t="str">
        <x:v>压制</x:v>
      </x:c>
      <x:c r="J78" s="24" t="str">
        <x:v>孙悟空及诸神</x:v>
      </x:c>
      <x:c r="K78" s="24" t="str">
        <x:v>第50—52回</x:v>
      </x:c>
      <x:c r="L78" s="24" t="str">
        <x:v>老君系统外溢</x:v>
      </x:c>
      <x:c r="M78" s="24" t="str">
        <x:v>取经团队/天庭诸神</x:v>
      </x:c>
      <x:c r="N78" s="24" t="str">
        <x:v>法宝压制</x:v>
      </x:c>
      <x:c r="O78" s="24" t="str">
        <x:v>待校核原文</x:v>
      </x:c>
      <x:c r="P78" s="24" t="str">
        <x:v>https://zh.wikisource.org/wiki/西游记/第五十一回</x:v>
      </x:c>
    </x:row>
    <x:row r="79">
      <x:c r="A79" s="24" t="str">
        <x:v>白骨精</x:v>
      </x:c>
      <x:c r="B79" s="24" t="str">
        <x:v>白虎岭妖魔</x:v>
      </x:c>
      <x:c r="C79" s="24" t="n">
        <x:v>1</x:v>
      </x:c>
      <x:c r="D79" s="24" t="str">
        <x:v>边缘节点</x:v>
      </x:c>
      <x:c r="E79" s="24" t="str">
        <x:v>由人物关系表自动汇总；度数=作为关系A/B出现次数。</x:v>
      </x:c>
      <x:c r="F79" s="24"/>
      <x:c r="G79" s="24" t="str">
        <x:v>R074</x:v>
      </x:c>
      <x:c r="H79" s="24" t="str">
        <x:v>孙悟空</x:v>
      </x:c>
      <x:c r="I79" s="24" t="str">
        <x:v>求线索</x:v>
      </x:c>
      <x:c r="J79" s="24" t="str">
        <x:v>如来</x:v>
      </x:c>
      <x:c r="K79" s="24" t="str">
        <x:v>第52回</x:v>
      </x:c>
      <x:c r="L79" s="24" t="str">
        <x:v>取经团队</x:v>
      </x:c>
      <x:c r="M79" s="24" t="str">
        <x:v>灵山系统</x:v>
      </x:c>
      <x:c r="N79" s="24" t="str">
        <x:v>求援→指引</x:v>
      </x:c>
      <x:c r="O79" s="24" t="str">
        <x:v>待校核原文</x:v>
      </x:c>
      <x:c r="P79" s="24" t="str">
        <x:v>https://zh.wikisource.org/wiki/西游记/第五十二回</x:v>
      </x:c>
    </x:row>
    <x:row r="80">
      <x:c r="A80" s="24" t="str">
        <x:v>黄袍怪</x:v>
      </x:c>
      <x:c r="B80" s="24" t="str">
        <x:v>妖怪/天庭星宿</x:v>
      </x:c>
      <x:c r="C80" s="24" t="n">
        <x:v>1</x:v>
      </x:c>
      <x:c r="D80" s="24" t="str">
        <x:v>边缘节点</x:v>
      </x:c>
      <x:c r="E80" s="24" t="str">
        <x:v>由人物关系表自动汇总；度数=作为关系A/B出现次数。</x:v>
      </x:c>
      <x:c r="F80" s="24"/>
      <x:c r="G80" s="24" t="str">
        <x:v>R075</x:v>
      </x:c>
      <x:c r="H80" s="24" t="str">
        <x:v>太上老君</x:v>
      </x:c>
      <x:c r="I80" s="24" t="str">
        <x:v>收回/责任归属</x:v>
      </x:c>
      <x:c r="J80" s="24" t="str">
        <x:v>独角兕大王与金刚琢</x:v>
      </x:c>
      <x:c r="K80" s="24" t="str">
        <x:v>第52回</x:v>
      </x:c>
      <x:c r="L80" s="24" t="str">
        <x:v>道教/老君系统</x:v>
      </x:c>
      <x:c r="M80" s="24" t="str">
        <x:v>坐骑/法宝</x:v>
      </x:c>
      <x:c r="N80" s="24" t="str">
        <x:v>后台→收束</x:v>
      </x:c>
      <x:c r="O80" s="24" t="str">
        <x:v>待校核原文</x:v>
      </x:c>
      <x:c r="P80" s="24" t="str">
        <x:v>https://zh.wikisource.org/wiki/西游记/第五十二回</x:v>
      </x:c>
    </x:row>
    <x:row r="81">
      <x:c r="A81" s="24" t="str">
        <x:v>黄袍怪/奎木狼</x:v>
      </x:c>
      <x:c r="B81" s="24" t="str">
        <x:v>妖怪外显</x:v>
      </x:c>
      <x:c r="C81" s="24" t="n">
        <x:v>1</x:v>
      </x:c>
      <x:c r="D81" s="24" t="str">
        <x:v>边缘节点</x:v>
      </x:c>
      <x:c r="E81" s="24" t="str">
        <x:v>由人物关系表自动汇总；度数=作为关系A/B出现次数。</x:v>
      </x:c>
      <x:c r="F81" s="24"/>
      <x:c r="G81" s="24" t="str">
        <x:v>R076</x:v>
      </x:c>
      <x:c r="H81" s="24" t="str">
        <x:v>唐僧</x:v>
      </x:c>
      <x:c r="I81" s="24" t="str">
        <x:v>误饮/共困</x:v>
      </x:c>
      <x:c r="J81" s="24" t="str">
        <x:v>猪八戒</x:v>
      </x:c>
      <x:c r="K81" s="24" t="str">
        <x:v>第53回</x:v>
      </x:c>
      <x:c r="L81" s="24" t="str">
        <x:v>取经团队</x:v>
      </x:c>
      <x:c r="M81" s="24" t="str">
        <x:v>取经团队</x:v>
      </x:c>
      <x:c r="N81" s="24" t="str">
        <x:v>团队内部→共困</x:v>
      </x:c>
      <x:c r="O81" s="24" t="str">
        <x:v>待校核原文</x:v>
      </x:c>
      <x:c r="P81" s="24" t="str">
        <x:v>https://zh.wikisource.org/wiki/西游记/第五十三回</x:v>
      </x:c>
    </x:row>
    <x:row r="82">
      <x:c r="A82" s="24" t="str">
        <x:v>天庭星宿系统</x:v>
      </x:c>
      <x:c r="B82" s="24" t="str">
        <x:v>天庭系统</x:v>
      </x:c>
      <x:c r="C82" s="24" t="n">
        <x:v>1</x:v>
      </x:c>
      <x:c r="D82" s="24" t="str">
        <x:v>边缘节点</x:v>
      </x:c>
      <x:c r="E82" s="24" t="str">
        <x:v>由人物关系表自动汇总；度数=作为关系A/B出现次数。</x:v>
      </x:c>
      <x:c r="F82" s="24"/>
      <x:c r="G82" s="24" t="str">
        <x:v>R077</x:v>
      </x:c>
      <x:c r="H82" s="24" t="str">
        <x:v>孙悟空</x:v>
      </x:c>
      <x:c r="I82" s="24" t="str">
        <x:v>求解/冲突</x:v>
      </x:c>
      <x:c r="J82" s="24" t="str">
        <x:v>如意真仙</x:v>
      </x:c>
      <x:c r="K82" s="24" t="str">
        <x:v>第53回</x:v>
      </x:c>
      <x:c r="L82" s="24" t="str">
        <x:v>取经团队</x:v>
      </x:c>
      <x:c r="M82" s="24" t="str">
        <x:v>落胎泉系统</x:v>
      </x:c>
      <x:c r="N82" s="24" t="str">
        <x:v>求援→资源争夺</x:v>
      </x:c>
      <x:c r="O82" s="24" t="str">
        <x:v>待校核原文</x:v>
      </x:c>
      <x:c r="P82" s="24" t="str">
        <x:v>https://zh.wikisource.org/wiki/西游记/第五十三回</x:v>
      </x:c>
    </x:row>
    <x:row r="83">
      <x:c r="A83" s="24" t="str">
        <x:v>功曹</x:v>
      </x:c>
      <x:c r="B83" s="24" t="str">
        <x:v>护法/天界辅助</x:v>
      </x:c>
      <x:c r="C83" s="24" t="n">
        <x:v>1</x:v>
      </x:c>
      <x:c r="D83" s="24" t="str">
        <x:v>边缘节点</x:v>
      </x:c>
      <x:c r="E83" s="24" t="str">
        <x:v>由人物关系表自动汇总；度数=作为关系A/B出现次数。</x:v>
      </x:c>
      <x:c r="F83" s="24"/>
      <x:c r="G83" s="24" t="str">
        <x:v>R078</x:v>
      </x:c>
      <x:c r="H83" s="24" t="str">
        <x:v>女儿国王</x:v>
      </x:c>
      <x:c r="I83" s="24" t="str">
        <x:v>招赘/情感拉扯</x:v>
      </x:c>
      <x:c r="J83" s="24" t="str">
        <x:v>唐僧</x:v>
      </x:c>
      <x:c r="K83" s="24" t="str">
        <x:v>第54回</x:v>
      </x:c>
      <x:c r="L83" s="24" t="str">
        <x:v>西梁女国</x:v>
      </x:c>
      <x:c r="M83" s="24" t="str">
        <x:v>取经团队</x:v>
      </x:c>
      <x:c r="N83" s="24" t="str">
        <x:v>王权/情感→使命</x:v>
      </x:c>
      <x:c r="O83" s="24" t="str">
        <x:v>待校核原文</x:v>
      </x:c>
      <x:c r="P83" s="24" t="str">
        <x:v>https://zh.wikisource.org/wiki/西游记/第五十四回</x:v>
      </x:c>
    </x:row>
    <x:row r="84">
      <x:c r="A84" s="24" t="str">
        <x:v>金角大王</x:v>
      </x:c>
      <x:c r="B84" s="24" t="str">
        <x:v>莲花洞妖怪</x:v>
      </x:c>
      <x:c r="C84" s="24" t="n">
        <x:v>1</x:v>
      </x:c>
      <x:c r="D84" s="24" t="str">
        <x:v>边缘节点</x:v>
      </x:c>
      <x:c r="E84" s="24" t="str">
        <x:v>由人物关系表自动汇总；度数=作为关系A/B出现次数。</x:v>
      </x:c>
      <x:c r="F84" s="24"/>
      <x:c r="G84" s="24" t="str">
        <x:v>R079</x:v>
      </x:c>
      <x:c r="H84" s="24" t="str">
        <x:v>蝎子精</x:v>
      </x:c>
      <x:c r="I84" s="24" t="str">
        <x:v>摄取/攻击</x:v>
      </x:c>
      <x:c r="J84" s="24" t="str">
        <x:v>唐僧</x:v>
      </x:c>
      <x:c r="K84" s="24" t="str">
        <x:v>第55回</x:v>
      </x:c>
      <x:c r="L84" s="24" t="str">
        <x:v>妖怪系统</x:v>
      </x:c>
      <x:c r="M84" s="24" t="str">
        <x:v>取经团队</x:v>
      </x:c>
      <x:c r="N84" s="24" t="str">
        <x:v>妖怪→目标</x:v>
      </x:c>
      <x:c r="O84" s="24" t="str">
        <x:v>待校核原文</x:v>
      </x:c>
      <x:c r="P84" s="24" t="str">
        <x:v>https://zh.wikisource.org/wiki/西游记/第五十五回</x:v>
      </x:c>
    </x:row>
    <x:row r="85">
      <x:c r="A85" s="24" t="str">
        <x:v>银角大王</x:v>
      </x:c>
      <x:c r="B85" s="24" t="str">
        <x:v>莲花洞妖怪</x:v>
      </x:c>
      <x:c r="C85" s="24" t="n">
        <x:v>1</x:v>
      </x:c>
      <x:c r="D85" s="24" t="str">
        <x:v>边缘节点</x:v>
      </x:c>
      <x:c r="E85" s="24" t="str">
        <x:v>由人物关系表自动汇总；度数=作为关系A/B出现次数。</x:v>
      </x:c>
      <x:c r="F85" s="24"/>
      <x:c r="G85" s="24" t="str">
        <x:v>R080</x:v>
      </x:c>
      <x:c r="H85" s="24" t="str">
        <x:v>蝎子精</x:v>
      </x:c>
      <x:c r="I85" s="24" t="str">
        <x:v>毒伤/压制</x:v>
      </x:c>
      <x:c r="J85" s="24" t="str">
        <x:v>孙悟空</x:v>
      </x:c>
      <x:c r="K85" s="24" t="str">
        <x:v>第55回</x:v>
      </x:c>
      <x:c r="L85" s="24" t="str">
        <x:v>妖怪系统</x:v>
      </x:c>
      <x:c r="M85" s="24" t="str">
        <x:v>取经团队</x:v>
      </x:c>
      <x:c r="N85" s="24" t="str">
        <x:v>攻击→压制</x:v>
      </x:c>
      <x:c r="O85" s="24" t="str">
        <x:v>待校核原文</x:v>
      </x:c>
      <x:c r="P85" s="24" t="str">
        <x:v>https://zh.wikisource.org/wiki/西游记/第五十五回</x:v>
      </x:c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</x:row>
    <x:row r="89">
      <x:c r="A89" s="147" t="str">
        <x:v>三、关系类型统计</x:v>
      </x:c>
      <x:c r="B89" s="147"/>
      <x:c r="C89" s="147"/>
      <x:c r="D89" s="24"/>
      <x:c r="E89" s="147" t="str">
        <x:v>四、系统交叉统计</x:v>
      </x:c>
      <x:c r="F89" s="147"/>
      <x:c r="G89" s="147"/>
      <x:c r="H89" s="147"/>
      <x:c r="I89" s="24"/>
      <x:c r="J89" s="24"/>
      <x:c r="K89" s="24"/>
      <x:c r="L89" s="24"/>
      <x:c r="M89" s="24"/>
      <x:c r="N89" s="24"/>
      <x:c r="O89" s="24"/>
      <x:c r="P89" s="24"/>
    </x:row>
    <x:row r="90">
      <x:c r="A90" s="152" t="str">
        <x:v>关系类型</x:v>
      </x:c>
      <x:c r="B90" s="152" t="str">
        <x:v>数量</x:v>
      </x:c>
      <x:c r="C90" s="152" t="str">
        <x:v>图谱含义</x:v>
      </x:c>
      <x:c r="D90" s="24"/>
      <x:c r="E90" s="152" t="str">
        <x:v>系统A</x:v>
      </x:c>
      <x:c r="F90" s="152" t="str">
        <x:v>系统B</x:v>
      </x:c>
      <x:c r="G90" s="152" t="str">
        <x:v>关系数量</x:v>
      </x:c>
      <x:c r="H90" s="152" t="str">
        <x:v>解读</x:v>
      </x:c>
      <x:c r="I90" s="24"/>
      <x:c r="J90" s="24"/>
      <x:c r="K90" s="24"/>
      <x:c r="L90" s="24"/>
      <x:c r="M90" s="24"/>
      <x:c r="N90" s="24"/>
      <x:c r="O90" s="24"/>
      <x:c r="P90" s="24"/>
    </x:row>
    <x:row r="91">
      <x:c r="A91" s="24" t="str">
        <x:v>点化/预设护法</x:v>
      </x:c>
      <x:c r="B91" s="24" t="n">
        <x:v>3</x:v>
      </x:c>
      <x:c r="C91" s="24" t="str">
        <x:v>用于过滤图谱边。</x:v>
      </x:c>
      <x:c r="D91" s="24"/>
      <x:c r="E91" s="24" t="str">
        <x:v>取经团队</x:v>
      </x:c>
      <x:c r="F91" s="24" t="str">
        <x:v>取经团队</x:v>
      </x:c>
      <x:c r="G91" s="24" t="n">
        <x:v>11</x:v>
      </x:c>
      <x:c r="H91" s="24" t="str">
        <x:v>跨系统关系越多，越适合在图谱中作为制度/后台关系观察。</x:v>
      </x:c>
      <x:c r="I91" s="24"/>
      <x:c r="J91" s="24"/>
      <x:c r="K91" s="24"/>
      <x:c r="L91" s="24"/>
      <x:c r="M91" s="24"/>
      <x:c r="N91" s="24"/>
      <x:c r="O91" s="24"/>
      <x:c r="P91" s="24"/>
    </x:row>
    <x:row r="92">
      <x:c r="A92" s="24" t="str">
        <x:v>认领/收回</x:v>
      </x:c>
      <x:c r="B92" s="24" t="n">
        <x:v>3</x:v>
      </x:c>
      <x:c r="C92" s="24" t="str">
        <x:v>用于过滤图谱边。</x:v>
      </x:c>
      <x:c r="D92" s="24"/>
      <x:c r="E92" s="24" t="str">
        <x:v>取经团队</x:v>
      </x:c>
      <x:c r="F92" s="24" t="str">
        <x:v>灵山系统</x:v>
      </x:c>
      <x:c r="G92" s="24" t="n">
        <x:v>4</x:v>
      </x:c>
      <x:c r="H92" s="24" t="str">
        <x:v>跨系统关系越多，越适合在图谱中作为制度/后台关系观察。</x:v>
      </x:c>
      <x:c r="I92" s="24"/>
      <x:c r="J92" s="24"/>
      <x:c r="K92" s="24"/>
      <x:c r="L92" s="24"/>
      <x:c r="M92" s="24"/>
      <x:c r="N92" s="24"/>
      <x:c r="O92" s="24"/>
      <x:c r="P92" s="24"/>
    </x:row>
    <x:row r="93">
      <x:c r="A93" s="24" t="str">
        <x:v>助战/协同</x:v>
      </x:c>
      <x:c r="B93" s="24" t="n">
        <x:v>2</x:v>
      </x:c>
      <x:c r="C93" s="24" t="str">
        <x:v>用于过滤图谱边。</x:v>
      </x:c>
      <x:c r="D93" s="24"/>
      <x:c r="E93" s="24" t="str">
        <x:v>灵山系统</x:v>
      </x:c>
      <x:c r="F93" s="24" t="str">
        <x:v>取经团队</x:v>
      </x:c>
      <x:c r="G93" s="24" t="n">
        <x:v>4</x:v>
      </x:c>
      <x:c r="H93" s="24" t="str">
        <x:v>跨系统关系越多，越适合在图谱中作为制度/后台关系观察。</x:v>
      </x:c>
      <x:c r="I93" s="24"/>
      <x:c r="J93" s="24"/>
      <x:c r="K93" s="24"/>
      <x:c r="L93" s="24"/>
      <x:c r="M93" s="24"/>
      <x:c r="N93" s="24"/>
      <x:c r="O93" s="24"/>
      <x:c r="P93" s="24"/>
    </x:row>
    <x:row r="94">
      <x:c r="A94" s="24" t="str">
        <x:v>关联/引出</x:v>
      </x:c>
      <x:c r="B94" s="24" t="n">
        <x:v>2</x:v>
      </x:c>
      <x:c r="C94" s="24" t="str">
        <x:v>用于过滤图谱边。</x:v>
      </x:c>
      <x:c r="D94" s="24"/>
      <x:c r="E94" s="24" t="str">
        <x:v>人间王权系统</x:v>
      </x:c>
      <x:c r="F94" s="24" t="str">
        <x:v>取经团队</x:v>
      </x:c>
      <x:c r="G94" s="24" t="n">
        <x:v>3</x:v>
      </x:c>
      <x:c r="H94" s="24" t="str">
        <x:v>跨系统关系越多，越适合在图谱中作为制度/后台关系观察。</x:v>
      </x:c>
      <x:c r="I94" s="24"/>
      <x:c r="J94" s="24"/>
      <x:c r="K94" s="24"/>
      <x:c r="L94" s="24"/>
      <x:c r="M94" s="24"/>
      <x:c r="N94" s="24"/>
      <x:c r="O94" s="24"/>
      <x:c r="P94" s="24"/>
    </x:row>
    <x:row r="95">
      <x:c r="A95" s="24" t="str">
        <x:v>结盟/集团成员</x:v>
      </x:c>
      <x:c r="B95" s="24" t="n">
        <x:v>2</x:v>
      </x:c>
      <x:c r="C95" s="24" t="str">
        <x:v>用于过滤图谱边。</x:v>
      </x:c>
      <x:c r="D95" s="24"/>
      <x:c r="E95" s="24" t="str">
        <x:v>取经团队</x:v>
      </x:c>
      <x:c r="F95" s="24" t="str">
        <x:v>人间王权系统</x:v>
      </x:c>
      <x:c r="G95" s="24" t="n">
        <x:v>2</x:v>
      </x:c>
      <x:c r="H95" s="24" t="str">
        <x:v>跨系统关系越多，越适合在图谱中作为制度/后台关系观察。</x:v>
      </x:c>
      <x:c r="I95" s="24"/>
      <x:c r="J95" s="24"/>
      <x:c r="K95" s="24"/>
      <x:c r="L95" s="24"/>
      <x:c r="M95" s="24"/>
      <x:c r="N95" s="24"/>
      <x:c r="O95" s="24"/>
      <x:c r="P95" s="24"/>
    </x:row>
    <x:row r="96">
      <x:c r="A96" s="24" t="str">
        <x:v>义亲/供奉关系</x:v>
      </x:c>
      <x:c r="B96" s="24" t="n">
        <x:v>2</x:v>
      </x:c>
      <x:c r="C96" s="24" t="str">
        <x:v>用于过滤图谱边。</x:v>
      </x:c>
      <x:c r="D96" s="24"/>
      <x:c r="E96" s="24" t="str">
        <x:v>火云洞/妖族家族</x:v>
      </x:c>
      <x:c r="F96" s="24" t="str">
        <x:v>牛魔王家族</x:v>
      </x:c>
      <x:c r="G96" s="24" t="n">
        <x:v>2</x:v>
      </x:c>
      <x:c r="H96" s="24" t="str">
        <x:v>跨系统关系越多，越适合在图谱中作为制度/后台关系观察。</x:v>
      </x:c>
      <x:c r="I96" s="24"/>
      <x:c r="J96" s="24"/>
      <x:c r="K96" s="24"/>
      <x:c r="L96" s="24"/>
      <x:c r="M96" s="24"/>
      <x:c r="N96" s="24"/>
      <x:c r="O96" s="24"/>
      <x:c r="P96" s="24"/>
    </x:row>
    <x:row r="97">
      <x:c r="A97" s="24" t="str">
        <x:v>授权/使命发布</x:v>
      </x:c>
      <x:c r="B97" s="24" t="n">
        <x:v>1</x:v>
      </x:c>
      <x:c r="C97" s="24" t="str">
        <x:v>用于过滤图谱边。</x:v>
      </x:c>
      <x:c r="D97" s="24"/>
      <x:c r="E97" s="24" t="str">
        <x:v>妖怪系统</x:v>
      </x:c>
      <x:c r="F97" s="24" t="str">
        <x:v>取经团队</x:v>
      </x:c>
      <x:c r="G97" s="24" t="n">
        <x:v>2</x:v>
      </x:c>
      <x:c r="H97" s="24" t="str">
        <x:v>跨系统关系越多，越适合在图谱中作为制度/后台关系观察。</x:v>
      </x:c>
      <x:c r="I97" s="24"/>
      <x:c r="J97" s="24"/>
      <x:c r="K97" s="24"/>
      <x:c r="L97" s="24"/>
      <x:c r="M97" s="24"/>
      <x:c r="N97" s="24"/>
      <x:c r="O97" s="24"/>
      <x:c r="P97" s="24"/>
    </x:row>
    <x:row r="98">
      <x:c r="A98" s="24" t="str">
        <x:v>转化伏笔</x:v>
      </x:c>
      <x:c r="B98" s="24" t="n">
        <x:v>1</x:v>
      </x:c>
      <x:c r="C98" s="24" t="str">
        <x:v>用于过滤图谱边。</x:v>
      </x:c>
      <x:c r="D98" s="24"/>
      <x:c r="E98" s="24" t="str">
        <x:v>取经团队</x:v>
      </x:c>
      <x:c r="F98" s="24" t="str">
        <x:v>牛魔王家族</x:v>
      </x:c>
      <x:c r="G98" s="24" t="n">
        <x:v>2</x:v>
      </x:c>
      <x:c r="H98" s="24" t="str">
        <x:v>跨系统关系越多，越适合在图谱中作为制度/后台关系观察。</x:v>
      </x:c>
      <x:c r="I98" s="24"/>
      <x:c r="J98" s="24"/>
      <x:c r="K98" s="24"/>
      <x:c r="L98" s="24"/>
      <x:c r="M98" s="24"/>
      <x:c r="N98" s="24"/>
      <x:c r="O98" s="24"/>
      <x:c r="P98" s="24"/>
    </x:row>
    <x:row r="99">
      <x:c r="A99" s="24" t="str">
        <x:v>父子/身世因果</x:v>
      </x:c>
      <x:c r="B99" s="24" t="n">
        <x:v>1</x:v>
      </x:c>
      <x:c r="C99" s="24" t="str">
        <x:v>用于过滤图谱边。</x:v>
      </x:c>
      <x:c r="D99" s="24"/>
      <x:c r="E99" s="24" t="str">
        <x:v>佛门系统</x:v>
      </x:c>
      <x:c r="F99" s="24" t="str">
        <x:v>坐骑外溢</x:v>
      </x:c>
      <x:c r="G99" s="24" t="n">
        <x:v>2</x:v>
      </x:c>
      <x:c r="H99" s="24" t="str">
        <x:v>跨系统关系越多，越适合在图谱中作为制度/后台关系观察。</x:v>
      </x:c>
      <x:c r="I99" s="24"/>
      <x:c r="J99" s="24"/>
      <x:c r="K99" s="24"/>
      <x:c r="L99" s="24"/>
      <x:c r="M99" s="24"/>
      <x:c r="N99" s="24"/>
      <x:c r="O99" s="24"/>
      <x:c r="P99" s="24"/>
    </x:row>
    <x:row r="100">
      <x:c r="A100" s="24" t="str">
        <x:v>母子/托孤</x:v>
      </x:c>
      <x:c r="B100" s="24" t="n">
        <x:v>1</x:v>
      </x:c>
      <x:c r="C100" s="24" t="str">
        <x:v>用于过滤图谱边。</x:v>
      </x:c>
      <x:c r="D100" s="24"/>
      <x:c r="E100" s="24" t="str">
        <x:v>取经团队</x:v>
      </x:c>
      <x:c r="F100" s="24" t="str">
        <x:v>无底洞妖怪</x:v>
      </x:c>
      <x:c r="G100" s="24" t="n">
        <x:v>2</x:v>
      </x:c>
      <x:c r="H100" s="24" t="str">
        <x:v>跨系统关系越多，越适合在图谱中作为制度/后台关系观察。</x:v>
      </x:c>
      <x:c r="I100" s="24"/>
      <x:c r="J100" s="24"/>
      <x:c r="K100" s="24"/>
      <x:c r="L100" s="24"/>
      <x:c r="M100" s="24"/>
      <x:c r="N100" s="24"/>
      <x:c r="O100" s="24"/>
      <x:c r="P100" s="24"/>
    </x:row>
    <x:row r="101">
      <x:c r="A101" s="24" t="str">
        <x:v>加害/冒名</x:v>
      </x:c>
      <x:c r="B101" s="24" t="n">
        <x:v>1</x:v>
      </x:c>
      <x:c r="C101" s="24" t="str">
        <x:v>用于过滤图谱边。</x:v>
      </x:c>
      <x:c r="D101" s="24"/>
      <x:c r="E101" s="24" t="str">
        <x:v>无底洞妖怪</x:v>
      </x:c>
      <x:c r="F101" s="24" t="str">
        <x:v>天庭系统</x:v>
      </x:c>
      <x:c r="G101" s="24" t="n">
        <x:v>2</x:v>
      </x:c>
      <x:c r="H101" s="24" t="str">
        <x:v>跨系统关系越多，越适合在图谱中作为制度/后台关系观察。</x:v>
      </x:c>
      <x:c r="I101" s="24"/>
      <x:c r="J101" s="24"/>
      <x:c r="K101" s="24"/>
      <x:c r="L101" s="24"/>
      <x:c r="M101" s="24"/>
      <x:c r="N101" s="24"/>
      <x:c r="O101" s="24"/>
      <x:c r="P101" s="24"/>
    </x:row>
    <x:row r="102">
      <x:c r="A102" s="24" t="str">
        <x:v>争胜/犯律</x:v>
      </x:c>
      <x:c r="B102" s="24" t="n">
        <x:v>1</x:v>
      </x:c>
      <x:c r="C102" s="24" t="str">
        <x:v>用于过滤图谱边。</x:v>
      </x:c>
      <x:c r="D102" s="24"/>
      <x:c r="E102" s="24" t="str">
        <x:v>取经团队</x:v>
      </x:c>
      <x:c r="F102" s="24" t="str">
        <x:v>天庭系统</x:v>
      </x:c>
      <x:c r="G102" s="24" t="n">
        <x:v>2</x:v>
      </x:c>
      <x:c r="H102" s="24" t="str">
        <x:v>跨系统关系越多，越适合在图谱中作为制度/后台关系观察。</x:v>
      </x:c>
      <x:c r="I102" s="24"/>
      <x:c r="J102" s="24"/>
      <x:c r="K102" s="24"/>
      <x:c r="L102" s="24"/>
      <x:c r="M102" s="24"/>
      <x:c r="N102" s="24"/>
      <x:c r="O102" s="24"/>
      <x:c r="P102" s="24"/>
    </x:row>
    <x:row r="103">
      <x:c r="A103" s="24" t="str">
        <x:v>执行天命</x:v>
      </x:c>
      <x:c r="B103" s="24" t="n">
        <x:v>1</x:v>
      </x:c>
      <x:c r="C103" s="24" t="str">
        <x:v>用于过滤图谱边。</x:v>
      </x:c>
      <x:c r="D103" s="24"/>
      <x:c r="E103" s="24" t="str">
        <x:v>灵山系统</x:v>
      </x:c>
      <x:c r="F103" s="24" t="str">
        <x:v>灵山系统</x:v>
      </x:c>
      <x:c r="G103" s="24" t="n">
        <x:v>1</x:v>
      </x:c>
      <x:c r="H103" s="24" t="str">
        <x:v>跨系统关系越多，越适合在图谱中作为制度/后台关系观察。</x:v>
      </x:c>
      <x:c r="I103" s="24"/>
      <x:c r="J103" s="24"/>
      <x:c r="K103" s="24"/>
      <x:c r="L103" s="24"/>
      <x:c r="M103" s="24"/>
      <x:c r="N103" s="24"/>
      <x:c r="O103" s="24"/>
      <x:c r="P103" s="24"/>
    </x:row>
    <x:row r="104">
      <x:c r="A104" s="24" t="str">
        <x:v>冥府审验</x:v>
      </x:c>
      <x:c r="B104" s="24" t="n">
        <x:v>1</x:v>
      </x:c>
      <x:c r="C104" s="24" t="str">
        <x:v>用于过滤图谱边。</x:v>
      </x:c>
      <x:c r="D104" s="24"/>
      <x:c r="E104" s="24" t="str">
        <x:v>灵山系统</x:v>
      </x:c>
      <x:c r="F104" s="24" t="str">
        <x:v>贬谪神将</x:v>
      </x:c>
      <x:c r="G104" s="24" t="n">
        <x:v>1</x:v>
      </x:c>
      <x:c r="H104" s="24" t="str">
        <x:v>跨系统关系越多，越适合在图谱中作为制度/后台关系观察。</x:v>
      </x:c>
      <x:c r="I104" s="24"/>
      <x:c r="J104" s="24"/>
      <x:c r="K104" s="24"/>
      <x:c r="L104" s="24"/>
      <x:c r="M104" s="24"/>
      <x:c r="N104" s="24"/>
      <x:c r="O104" s="24"/>
      <x:c r="P104" s="24"/>
    </x:row>
    <x:row r="105">
      <x:c r="A105" s="24" t="str">
        <x:v>显圣/授命</x:v>
      </x:c>
      <x:c r="B105" s="24" t="n">
        <x:v>1</x:v>
      </x:c>
      <x:c r="C105" s="24" t="str">
        <x:v>用于过滤图谱边。</x:v>
      </x:c>
      <x:c r="D105" s="24"/>
      <x:c r="E105" s="24" t="str">
        <x:v>灵山系统</x:v>
      </x:c>
      <x:c r="F105" s="24" t="str">
        <x:v>贬谪天将</x:v>
      </x:c>
      <x:c r="G105" s="24" t="n">
        <x:v>1</x:v>
      </x:c>
      <x:c r="H105" s="24" t="str">
        <x:v>跨系统关系越多，越适合在图谱中作为制度/后台关系观察。</x:v>
      </x:c>
      <x:c r="I105" s="24"/>
      <x:c r="J105" s="24"/>
      <x:c r="K105" s="24"/>
      <x:c r="L105" s="24"/>
      <x:c r="M105" s="24"/>
      <x:c r="N105" s="24"/>
      <x:c r="O105" s="24"/>
      <x:c r="P105" s="24"/>
    </x:row>
    <x:row r="106">
      <x:c r="A106" s="24" t="str">
        <x:v>君王授权/结拜送行</x:v>
      </x:c>
      <x:c r="B106" s="24" t="n">
        <x:v>1</x:v>
      </x:c>
      <x:c r="C106" s="24" t="str">
        <x:v>用于过滤图谱边。</x:v>
      </x:c>
      <x:c r="D106" s="24"/>
      <x:c r="E106" s="24" t="str">
        <x:v>灵山系统</x:v>
      </x:c>
      <x:c r="F106" s="24" t="str">
        <x:v>龙族罪人</x:v>
      </x:c>
      <x:c r="G106" s="24" t="n">
        <x:v>1</x:v>
      </x:c>
      <x:c r="H106" s="24" t="str">
        <x:v>跨系统关系越多，越适合在图谱中作为制度/后台关系观察。</x:v>
      </x:c>
      <x:c r="I106" s="24"/>
      <x:c r="J106" s="24"/>
      <x:c r="K106" s="24"/>
      <x:c r="L106" s="24"/>
      <x:c r="M106" s="24"/>
      <x:c r="N106" s="24"/>
      <x:c r="O106" s="24"/>
      <x:c r="P106" s="24"/>
    </x:row>
    <x:row r="107">
      <x:c r="A107" s="24" t="str">
        <x:v>救援/解厄</x:v>
      </x:c>
      <x:c r="B107" s="24" t="n">
        <x:v>1</x:v>
      </x:c>
      <x:c r="C107" s="24" t="str">
        <x:v>用于过滤图谱边。</x:v>
      </x:c>
      <x:c r="D107" s="24"/>
      <x:c r="E107" s="24" t="str">
        <x:v>灵山系统</x:v>
      </x:c>
      <x:c r="F107" s="24" t="str">
        <x:v>心猿/被压者</x:v>
      </x:c>
      <x:c r="G107" s="24" t="n">
        <x:v>1</x:v>
      </x:c>
      <x:c r="H107" s="24" t="str">
        <x:v>跨系统关系越多，越适合在图谱中作为制度/后台关系观察。</x:v>
      </x:c>
      <x:c r="I107" s="24"/>
      <x:c r="J107" s="24"/>
      <x:c r="K107" s="24"/>
      <x:c r="L107" s="24"/>
      <x:c r="M107" s="24"/>
      <x:c r="N107" s="24"/>
      <x:c r="O107" s="24"/>
      <x:c r="P107" s="24"/>
    </x:row>
    <x:row r="108">
      <x:c r="A108" s="24" t="str">
        <x:v>地方接应/保护</x:v>
      </x:c>
      <x:c r="B108" s="24" t="n">
        <x:v>1</x:v>
      </x:c>
      <x:c r="C108" s="24" t="str">
        <x:v>用于过滤图谱边。</x:v>
      </x:c>
      <x:c r="D108" s="24"/>
      <x:c r="E108" s="24" t="str">
        <x:v>人间士人</x:v>
      </x:c>
      <x:c r="F108" s="24" t="str">
        <x:v>佛门僧人</x:v>
      </x:c>
      <x:c r="G108" s="24" t="n">
        <x:v>1</x:v>
      </x:c>
      <x:c r="H108" s="24" t="str">
        <x:v>跨系统关系越多，越适合在图谱中作为制度/后台关系观察。</x:v>
      </x:c>
      <x:c r="I108" s="24"/>
      <x:c r="J108" s="24"/>
      <x:c r="K108" s="24"/>
      <x:c r="L108" s="24"/>
      <x:c r="M108" s="24"/>
      <x:c r="N108" s="24"/>
      <x:c r="O108" s="24"/>
      <x:c r="P108" s="24"/>
    </x:row>
    <x:row r="109">
      <x:c r="A109" s="24" t="str">
        <x:v>解救/师徒</x:v>
      </x:c>
      <x:c r="B109" s="24" t="n">
        <x:v>1</x:v>
      </x:c>
      <x:c r="C109" s="24" t="str">
        <x:v>用于过滤图谱边。</x:v>
      </x:c>
      <x:c r="D109" s="24"/>
      <x:c r="E109" s="24" t="str">
        <x:v>人间官眷</x:v>
      </x:c>
      <x:c r="F109" s="24" t="str">
        <x:v>佛门僧人</x:v>
      </x:c>
      <x:c r="G109" s="24" t="n">
        <x:v>1</x:v>
      </x:c>
      <x:c r="H109" s="24" t="str">
        <x:v>跨系统关系越多，越适合在图谱中作为制度/后台关系观察。</x:v>
      </x:c>
      <x:c r="I109" s="24"/>
      <x:c r="J109" s="24"/>
      <x:c r="K109" s="24"/>
      <x:c r="L109" s="24"/>
      <x:c r="M109" s="24"/>
      <x:c r="N109" s="24"/>
      <x:c r="O109" s="24"/>
      <x:c r="P109" s="24"/>
    </x:row>
    <x:row r="110">
      <x:c r="A110" s="24" t="str">
        <x:v>冲突/磨合</x:v>
      </x:c>
      <x:c r="B110" s="24" t="n">
        <x:v>1</x:v>
      </x:c>
      <x:c r="C110" s="24" t="str">
        <x:v>用于过滤图谱边。</x:v>
      </x:c>
      <x:c r="D110" s="24"/>
      <x:c r="E110" s="24" t="str">
        <x:v>人间恶人</x:v>
      </x:c>
      <x:c r="F110" s="24" t="str">
        <x:v>人间士人</x:v>
      </x:c>
      <x:c r="G110" s="24" t="n">
        <x:v>1</x:v>
      </x:c>
      <x:c r="H110" s="24" t="str">
        <x:v>跨系统关系越多，越适合在图谱中作为制度/后台关系观察。</x:v>
      </x:c>
      <x:c r="I110" s="24"/>
      <x:c r="J110" s="24"/>
      <x:c r="K110" s="24"/>
      <x:c r="L110" s="24"/>
      <x:c r="M110" s="24"/>
      <x:c r="N110" s="24"/>
      <x:c r="O110" s="24"/>
      <x:c r="P110" s="24"/>
    </x:row>
    <x:row r="111">
      <x:c r="A111" s="24"/>
      <x:c r="B111" s="24"/>
      <x:c r="C111" s="24"/>
      <x:c r="D111" s="24"/>
      <x:c r="E111" s="24" t="str">
        <x:v>龙族水府</x:v>
      </x:c>
      <x:c r="F111" s="24" t="str">
        <x:v>人间术士</x:v>
      </x:c>
      <x:c r="G111" s="24" t="n">
        <x:v>1</x:v>
      </x:c>
      <x:c r="H111" s="24" t="str">
        <x:v>跨系统关系越多，越适合在图谱中作为制度/后台关系观察。</x:v>
      </x:c>
      <x:c r="I111" s="24"/>
      <x:c r="J111" s="24"/>
      <x:c r="K111" s="24"/>
      <x:c r="L111" s="24"/>
      <x:c r="M111" s="24"/>
      <x:c r="N111" s="24"/>
      <x:c r="O111" s="24"/>
      <x:c r="P111" s="24"/>
    </x:row>
    <x:row r="112">
      <x:c r="A112" s="24"/>
      <x:c r="B112" s="24"/>
      <x:c r="C112" s="24"/>
      <x:c r="D112" s="24"/>
      <x:c r="E112" s="24" t="str">
        <x:v>唐朝朝廷/天命执行者</x:v>
      </x:c>
      <x:c r="F112" s="24" t="str">
        <x:v>龙族水府</x:v>
      </x:c>
      <x:c r="G112" s="24" t="n">
        <x:v>1</x:v>
      </x:c>
      <x:c r="H112" s="24" t="str">
        <x:v>跨系统关系越多，越适合在图谱中作为制度/后台关系观察。</x:v>
      </x:c>
      <x:c r="I112" s="24"/>
      <x:c r="J112" s="24"/>
      <x:c r="K112" s="24"/>
      <x:c r="L112" s="24"/>
      <x:c r="M112" s="24"/>
      <x:c r="N112" s="24"/>
      <x:c r="O112" s="24"/>
      <x:c r="P112" s="24"/>
    </x:row>
    <x:row r="113">
      <x:c r="A113" s="24"/>
      <x:c r="B113" s="24"/>
      <x:c r="C113" s="24"/>
      <x:c r="D113" s="24"/>
      <x:c r="E113" s="24" t="str">
        <x:v>人间帝王</x:v>
      </x:c>
      <x:c r="F113" s="24" t="str">
        <x:v>地府系统</x:v>
      </x:c>
      <x:c r="G113" s="24" t="n">
        <x:v>1</x:v>
      </x:c>
      <x:c r="H113" s="24" t="str">
        <x:v>跨系统关系越多，越适合在图谱中作为制度/后台关系观察。</x:v>
      </x:c>
      <x:c r="I113" s="24"/>
      <x:c r="J113" s="24"/>
      <x:c r="K113" s="24"/>
      <x:c r="L113" s="24"/>
      <x:c r="M113" s="24"/>
      <x:c r="N113" s="24"/>
      <x:c r="O113" s="24"/>
      <x:c r="P113" s="24"/>
    </x:row>
    <x:row r="114">
      <x:c r="A114" s="24"/>
      <x:c r="B114" s="24"/>
      <x:c r="C114" s="24"/>
      <x:c r="D114" s="24"/>
      <x:c r="E114" s="24" t="str">
        <x:v>灵山系统</x:v>
      </x:c>
      <x:c r="F114" s="24" t="str">
        <x:v>佛门僧人</x:v>
      </x:c>
      <x:c r="G114" s="24" t="n">
        <x:v>1</x:v>
      </x:c>
      <x:c r="H114" s="24" t="str">
        <x:v>跨系统关系越多，越适合在图谱中作为制度/后台关系观察。</x:v>
      </x:c>
      <x:c r="I114" s="24"/>
      <x:c r="J114" s="24"/>
      <x:c r="K114" s="24"/>
      <x:c r="L114" s="24"/>
      <x:c r="M114" s="24"/>
      <x:c r="N114" s="24"/>
      <x:c r="O114" s="24"/>
      <x:c r="P114" s="24"/>
    </x:row>
    <x:row r="115">
      <x:c r="A115" s="24"/>
      <x:c r="B115" s="24"/>
      <x:c r="C115" s="24"/>
      <x:c r="D115" s="24"/>
      <x:c r="E115" s="24" t="str">
        <x:v>人间王权</x:v>
      </x:c>
      <x:c r="F115" s="24" t="str">
        <x:v>佛门僧人</x:v>
      </x:c>
      <x:c r="G115" s="24" t="n">
        <x:v>1</x:v>
      </x:c>
      <x:c r="H115" s="24" t="str">
        <x:v>跨系统关系越多，越适合在图谱中作为制度/后台关系观察。</x:v>
      </x:c>
      <x:c r="I115" s="24"/>
      <x:c r="J115" s="24"/>
      <x:c r="K115" s="24"/>
      <x:c r="L115" s="24"/>
      <x:c r="M115" s="24"/>
      <x:c r="N115" s="24"/>
      <x:c r="O115" s="24"/>
      <x:c r="P115" s="24"/>
    </x:row>
    <x:row r="116">
      <x:c r="A116" s="24"/>
      <x:c r="B116" s="24"/>
      <x:c r="C116" s="24"/>
      <x:c r="D116" s="24"/>
      <x:c r="E116" s="24" t="str">
        <x:v>天庭系统</x:v>
      </x:c>
      <x:c r="F116" s="24" t="str">
        <x:v>取经人</x:v>
      </x:c>
      <x:c r="G116" s="24" t="n">
        <x:v>1</x:v>
      </x:c>
      <x:c r="H116" s="24" t="str">
        <x:v>跨系统关系越多，越适合在图谱中作为制度/后台关系观察。</x:v>
      </x:c>
      <x:c r="I116" s="24"/>
      <x:c r="J116" s="24"/>
      <x:c r="K116" s="24"/>
      <x:c r="L116" s="24"/>
      <x:c r="M116" s="24"/>
      <x:c r="N116" s="24"/>
      <x:c r="O116" s="24"/>
      <x:c r="P116" s="24"/>
    </x:row>
    <x:row r="117">
      <x:c r="A117" s="24"/>
      <x:c r="B117" s="24"/>
      <x:c r="C117" s="24"/>
      <x:c r="D117" s="24"/>
      <x:c r="E117" s="24" t="str">
        <x:v>地方猎户</x:v>
      </x:c>
      <x:c r="F117" s="24" t="str">
        <x:v>取经人</x:v>
      </x:c>
      <x:c r="G117" s="24" t="n">
        <x:v>1</x:v>
      </x:c>
      <x:c r="H117" s="24" t="str">
        <x:v>跨系统关系越多，越适合在图谱中作为制度/后台关系观察。</x:v>
      </x:c>
      <x:c r="I117" s="24"/>
      <x:c r="J117" s="24"/>
      <x:c r="K117" s="24"/>
      <x:c r="L117" s="24"/>
      <x:c r="M117" s="24"/>
      <x:c r="N117" s="24"/>
      <x:c r="O117" s="24"/>
      <x:c r="P117" s="24"/>
    </x:row>
    <x:row r="118">
      <x:c r="A118" s="24"/>
      <x:c r="B118" s="24"/>
      <x:c r="C118" s="24"/>
      <x:c r="D118" s="24"/>
      <x:c r="E118" s="24" t="str">
        <x:v>取经人</x:v>
      </x:c>
      <x:c r="F118" s="24" t="str">
        <x:v>心猿/护法</x:v>
      </x:c>
      <x:c r="G118" s="24" t="n">
        <x:v>1</x:v>
      </x:c>
      <x:c r="H118" s="24" t="str">
        <x:v>跨系统关系越多，越适合在图谱中作为制度/后台关系观察。</x:v>
      </x:c>
      <x:c r="I118" s="24"/>
      <x:c r="J118" s="24"/>
      <x:c r="K118" s="24"/>
      <x:c r="L118" s="24"/>
      <x:c r="M118" s="24"/>
      <x:c r="N118" s="24"/>
      <x:c r="O118" s="24"/>
      <x:c r="P118" s="24"/>
    </x:row>
    <x:row r="119">
      <x:c r="A119" s="24"/>
      <x:c r="B119" s="24"/>
      <x:c r="C119" s="24"/>
      <x:c r="D119" s="24"/>
      <x:c r="E119" s="24" t="str">
        <x:v>护法</x:v>
      </x:c>
      <x:c r="F119" s="24" t="str">
        <x:v>取经人</x:v>
      </x:c>
      <x:c r="G119" s="24" t="n">
        <x:v>1</x:v>
      </x:c>
      <x:c r="H119" s="24" t="str">
        <x:v>跨系统关系越多，越适合在图谱中作为制度/后台关系观察。</x:v>
      </x:c>
      <x:c r="I119" s="24"/>
      <x:c r="J119" s="24"/>
      <x:c r="K119" s="24"/>
      <x:c r="L119" s="24"/>
      <x:c r="M119" s="24"/>
      <x:c r="N119" s="24"/>
      <x:c r="O119" s="24"/>
      <x:c r="P119" s="24"/>
    </x:row>
    <x:row r="120">
      <x:c r="A120" s="24"/>
      <x:c r="B120" s="24"/>
      <x:c r="C120" s="24"/>
      <x:c r="D120" s="24"/>
      <x:c r="E120" s="24" t="str">
        <x:v>灵山系统</x:v>
      </x:c>
      <x:c r="F120" s="24" t="str">
        <x:v>护法</x:v>
      </x:c>
      <x:c r="G120" s="24" t="n">
        <x:v>1</x:v>
      </x:c>
      <x:c r="H120" s="24" t="str">
        <x:v>跨系统关系越多，越适合在图谱中作为制度/后台关系观察。</x:v>
      </x:c>
      <x:c r="I120" s="24"/>
      <x:c r="J120" s="24"/>
      <x:c r="K120" s="24"/>
      <x:c r="L120" s="24"/>
      <x:c r="M120" s="24"/>
      <x:c r="N120" s="24"/>
      <x:c r="O120" s="24"/>
      <x:c r="P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</x:row>
  </x:sheetData>
  <x:mergeCells>
    <x:mergeCell ref="A1:J1"/>
  </x:mergeCells>
  <x:pageMargins left="0.7" right="0.7" top="0.75" bottom="0.75" header="0.3" footer="0.3"/>
  <x:tableParts count="4">
    <x:tablePart xmlns:r="http://schemas.openxmlformats.org/officeDocument/2006/relationships" r:id="Ref56d2f1e53d4ff2"/>
    <x:tablePart xmlns:r="http://schemas.openxmlformats.org/officeDocument/2006/relationships" r:id="Rd7eb62db9531483c"/>
    <x:tablePart xmlns:r="http://schemas.openxmlformats.org/officeDocument/2006/relationships" r:id="Re244514ea65d4920"/>
    <x:tablePart xmlns:r="http://schemas.openxmlformats.org/officeDocument/2006/relationships" r:id="Red14406bbb16408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22" hidden="0" customWidth="1"/>
    <x:col min="5" max="5" width="20" hidden="0" customWidth="1"/>
    <x:col min="6" max="6" width="12" hidden="0" customWidth="1"/>
    <x:col min="7" max="7" width="20" hidden="0" customWidth="1"/>
    <x:col min="8" max="8" width="20" hidden="0" customWidth="1"/>
    <x:col min="9" max="9" width="16" hidden="0" customWidth="1"/>
    <x:col min="10" max="10" width="22" hidden="0" customWidth="1"/>
    <x:col min="11" max="11" width="12" hidden="0" customWidth="1"/>
    <x:col min="12" max="12" width="14" hidden="0" customWidth="1"/>
    <x:col min="13" max="13" width="36" hidden="0" customWidth="1"/>
  </x:cols>
  <x:sheetData>
    <x:row r="1" ht="28" customHeight="1">
      <x:c r="A1" s="153" t="str">
        <x:v>《再读西游》V2.3 后台妖怪矩阵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 ht="34" customHeight="1">
      <x:c r="A2" s="142" t="str">
        <x:v>说明：把后台妖怪、制度寄生、亲属后台、非后台高风险等统一到一个风险矩阵，便于写作“有后台的妖怪”专题。</x:v>
      </x:c>
      <x:c r="B2" s="142"/>
      <x:c r="C2" s="142"/>
      <x:c r="D2" s="142"/>
      <x:c r="E2" s="142"/>
      <x:c r="F2" s="142"/>
      <x:c r="G2" s="142"/>
      <x:c r="H2" s="142"/>
      <x:c r="I2" s="142"/>
      <x:c r="J2" s="142"/>
      <x:c r="K2" s="142"/>
      <x:c r="L2" s="142"/>
      <x:c r="M2" s="142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A4" s="152" t="str">
        <x:v>编号</x:v>
      </x:c>
      <x:c r="B4" s="152" t="str">
        <x:v>对象</x:v>
      </x:c>
      <x:c r="C4" s="152" t="str">
        <x:v>出现回次</x:v>
      </x:c>
      <x:c r="D4" s="152" t="str">
        <x:v>后台/来源系统</x:v>
      </x:c>
      <x:c r="E4" s="152" t="str">
        <x:v>后台类型</x:v>
      </x:c>
      <x:c r="F4" s="152" t="str">
        <x:v>风险等级(1-5)</x:v>
      </x:c>
      <x:c r="G4" s="152" t="str">
        <x:v>风险类型归并</x:v>
      </x:c>
      <x:c r="H4" s="152" t="str">
        <x:v>收束者</x:v>
      </x:c>
      <x:c r="I4" s="152" t="str">
        <x:v>收束层级</x:v>
      </x:c>
      <x:c r="J4" s="152" t="str">
        <x:v>专题价值</x:v>
      </x:c>
      <x:c r="K4" s="152" t="str">
        <x:v>是否典型后台</x:v>
      </x:c>
      <x:c r="L4" s="152" t="str">
        <x:v>证据状态</x:v>
      </x:c>
      <x:c r="M4" s="152" t="str">
        <x:v>来源URL</x:v>
      </x:c>
    </x:row>
    <x:row r="5">
      <x:c r="A5" s="24" t="str">
        <x:v>H001</x:v>
      </x:c>
      <x:c r="B5" s="24" t="str">
        <x:v>黄袍怪/奎木狼</x:v>
      </x:c>
      <x:c r="C5" s="24" t="str">
        <x:v>第28—31回</x:v>
      </x:c>
      <x:c r="D5" s="24" t="str">
        <x:v>天庭二十八宿</x:v>
      </x:c>
      <x:c r="E5" s="24" t="str">
        <x:v>天庭星宿下界</x:v>
      </x:c>
      <x:c r="F5" s="24" t="n">
        <x:v>5</x:v>
      </x:c>
      <x:c r="G5" s="24" t="str">
        <x:v>天庭/道教后台</x:v>
      </x:c>
      <x:c r="H5" s="24" t="str">
        <x:v>天庭系统/悟空推动</x:v>
      </x:c>
      <x:c r="I5" s="24" t="str">
        <x:v>原系统收束</x:v>
      </x:c>
      <x:c r="J5" s="24" t="str">
        <x:v>后台妖怪早期样本</x:v>
      </x:c>
      <x:c r="K5" s="24" t="str">
        <x:v>是</x:v>
      </x:c>
      <x:c r="L5" s="24" t="str">
        <x:v>待校核原文</x:v>
      </x:c>
      <x:c r="M5" s="24" t="str">
        <x:v>https://zh.wikisource.org/wiki/西游记/第三十一回</x:v>
      </x:c>
    </x:row>
    <x:row r="6">
      <x:c r="A6" s="24" t="str">
        <x:v>H002</x:v>
      </x:c>
      <x:c r="B6" s="24" t="str">
        <x:v>金角大王、银角大王</x:v>
      </x:c>
      <x:c r="C6" s="24" t="str">
        <x:v>第32—35回</x:v>
      </x:c>
      <x:c r="D6" s="24" t="str">
        <x:v>太上老君</x:v>
      </x:c>
      <x:c r="E6" s="24" t="str">
        <x:v>童子携法宝下界</x:v>
      </x:c>
      <x:c r="F6" s="24" t="n">
        <x:v>4</x:v>
      </x:c>
      <x:c r="G6" s="24" t="str">
        <x:v>天庭/道教后台</x:v>
      </x:c>
      <x:c r="H6" s="24" t="str">
        <x:v>太上老君</x:v>
      </x:c>
      <x:c r="I6" s="24" t="str">
        <x:v>原系统收束</x:v>
      </x:c>
      <x:c r="J6" s="24" t="str">
        <x:v>法宝风险样本</x:v>
      </x:c>
      <x:c r="K6" s="24" t="str">
        <x:v>是</x:v>
      </x:c>
      <x:c r="L6" s="24" t="str">
        <x:v>待校核原文</x:v>
      </x:c>
      <x:c r="M6" s="24" t="str">
        <x:v>https://zh.wikisource.org/wiki/西游记/第三十五回</x:v>
      </x:c>
    </x:row>
    <x:row r="7">
      <x:c r="A7" s="24" t="str">
        <x:v>H003</x:v>
      </x:c>
      <x:c r="B7" s="24" t="str">
        <x:v>青毛狮子/乌鸡国假王</x:v>
      </x:c>
      <x:c r="C7" s="24" t="str">
        <x:v>第36—39回</x:v>
      </x:c>
      <x:c r="D7" s="24" t="str">
        <x:v>文殊菩萨</x:v>
      </x:c>
      <x:c r="E7" s="24" t="str">
        <x:v>坐骑下界/冒名王权</x:v>
      </x:c>
      <x:c r="F7" s="24" t="n">
        <x:v>5</x:v>
      </x:c>
      <x:c r="G7" s="24" t="str">
        <x:v>佛门/菩萨/星君后台</x:v>
      </x:c>
      <x:c r="H7" s="24" t="str">
        <x:v>文殊菩萨/老君金丹辅助</x:v>
      </x:c>
      <x:c r="I7" s="24" t="str">
        <x:v>菩萨/星君收束</x:v>
      </x:c>
      <x:c r="J7" s="24" t="str">
        <x:v>真假王权样本</x:v>
      </x:c>
      <x:c r="K7" s="24" t="str">
        <x:v>是</x:v>
      </x:c>
      <x:c r="L7" s="24" t="str">
        <x:v>待校核原文</x:v>
      </x:c>
      <x:c r="M7" s="24" t="str">
        <x:v>https://zh.wikisource.org/wiki/西游记/第三十九回</x:v>
      </x:c>
    </x:row>
    <x:row r="8">
      <x:c r="A8" s="24" t="str">
        <x:v>H004</x:v>
      </x:c>
      <x:c r="B8" s="24" t="str">
        <x:v>红孩儿/圣婴大王</x:v>
      </x:c>
      <x:c r="C8" s="24" t="str">
        <x:v>第40—42回</x:v>
      </x:c>
      <x:c r="D8" s="24" t="str">
        <x:v>牛魔王家族，后入观音系统</x:v>
      </x:c>
      <x:c r="E8" s="24" t="str">
        <x:v>家族后台/可收编少年力量</x:v>
      </x:c>
      <x:c r="F8" s="24" t="n">
        <x:v>4</x:v>
      </x:c>
      <x:c r="G8" s="24" t="str">
        <x:v>佛门/菩萨/星君后台</x:v>
      </x:c>
      <x:c r="H8" s="24" t="str">
        <x:v>观音</x:v>
      </x:c>
      <x:c r="I8" s="24" t="str">
        <x:v>菩萨/星君收束</x:v>
      </x:c>
      <x:c r="J8" s="24" t="str">
        <x:v>少年化妖与收编样本</x:v>
      </x:c>
      <x:c r="K8" s="24" t="str">
        <x:v>是</x:v>
      </x:c>
      <x:c r="L8" s="24" t="str">
        <x:v>待校核原文</x:v>
      </x:c>
      <x:c r="M8" s="24" t="str">
        <x:v>https://zh.wikisource.org/wiki/西游记/第四十二回</x:v>
      </x:c>
    </x:row>
    <x:row r="9">
      <x:c r="A9" s="24" t="str">
        <x:v>H005</x:v>
      </x:c>
      <x:c r="B9" s="24" t="str">
        <x:v>鼍龙/小鼍龙</x:v>
      </x:c>
      <x:c r="C9" s="24" t="str">
        <x:v>第43回</x:v>
      </x:c>
      <x:c r="D9" s="24" t="str">
        <x:v>西海龙王亲属系统</x:v>
      </x:c>
      <x:c r="E9" s="24" t="str">
        <x:v>亲属后台/水族支系</x:v>
      </x:c>
      <x:c r="F9" s="24" t="n">
        <x:v>4</x:v>
      </x:c>
      <x:c r="G9" s="24" t="str">
        <x:v>家族/亲属/龙族后台</x:v>
      </x:c>
      <x:c r="H9" s="24" t="str">
        <x:v>西海龙宫/摩昂太子</x:v>
      </x:c>
      <x:c r="I9" s="24" t="str">
        <x:v>原系统收束</x:v>
      </x:c>
      <x:c r="J9" s="24" t="str">
        <x:v>亲属后台样本</x:v>
      </x:c>
      <x:c r="K9" s="24" t="str">
        <x:v>是</x:v>
      </x:c>
      <x:c r="L9" s="24" t="str">
        <x:v>待校核原文</x:v>
      </x:c>
      <x:c r="M9" s="24" t="str">
        <x:v>https://zh.wikisource.org/wiki/西游记/第四十三回</x:v>
      </x:c>
    </x:row>
    <x:row r="10">
      <x:c r="A10" s="24" t="str">
        <x:v>H006</x:v>
      </x:c>
      <x:c r="B10" s="24" t="str">
        <x:v>虎力鹿力羊力大仙</x:v>
      </x:c>
      <x:c r="C10" s="24" t="str">
        <x:v>第44—46回</x:v>
      </x:c>
      <x:c r="D10" s="24" t="str">
        <x:v>车迟国王权授信</x:v>
      </x:c>
      <x:c r="E10" s="24" t="str">
        <x:v>王权庇护/制度寄生</x:v>
      </x:c>
      <x:c r="F10" s="24" t="n">
        <x:v>5</x:v>
      </x:c>
      <x:c r="G10" s="24" t="str">
        <x:v>王权/制度寄生</x:v>
      </x:c>
      <x:c r="H10" s="24" t="str">
        <x:v>孙悟空等/车迟国王醒悟</x:v>
      </x:c>
      <x:c r="I10" s="24" t="str">
        <x:v>取经团队处置</x:v>
      </x:c>
      <x:c r="J10" s="24" t="str">
        <x:v>伪权威制度寄生样本</x:v>
      </x:c>
      <x:c r="K10" s="24" t="str">
        <x:v>否</x:v>
      </x:c>
      <x:c r="L10" s="24" t="str">
        <x:v>待校核原文</x:v>
      </x:c>
      <x:c r="M10" s="24" t="str">
        <x:v>https://zh.wikisource.org/wiki/西游记/第四十六回</x:v>
      </x:c>
    </x:row>
    <x:row r="11">
      <x:c r="A11" s="24" t="str">
        <x:v>H007</x:v>
      </x:c>
      <x:c r="B11" s="24" t="str">
        <x:v>灵感大王</x:v>
      </x:c>
      <x:c r="C11" s="24" t="str">
        <x:v>第47—49回</x:v>
      </x:c>
      <x:c r="D11" s="24" t="str">
        <x:v>观音莲池</x:v>
      </x:c>
      <x:c r="E11" s="24" t="str">
        <x:v>佛门/观音系统资源外溢</x:v>
      </x:c>
      <x:c r="F11" s="24" t="n">
        <x:v>5</x:v>
      </x:c>
      <x:c r="G11" s="24" t="str">
        <x:v>佛门/菩萨/星君后台</x:v>
      </x:c>
      <x:c r="H11" s="24" t="str">
        <x:v>观音</x:v>
      </x:c>
      <x:c r="I11" s="24" t="str">
        <x:v>菩萨/星君收束</x:v>
      </x:c>
      <x:c r="J11" s="24" t="str">
        <x:v>后台妖怪类型扩展</x:v>
      </x:c>
      <x:c r="K11" s="24" t="str">
        <x:v>是</x:v>
      </x:c>
      <x:c r="L11" s="24" t="str">
        <x:v>待校核原文</x:v>
      </x:c>
      <x:c r="M11" s="24" t="str">
        <x:v>https://zh.wikisource.org/wiki/西游记/第四十九回</x:v>
      </x:c>
    </x:row>
    <x:row r="12">
      <x:c r="A12" s="24" t="str">
        <x:v>H008</x:v>
      </x:c>
      <x:c r="B12" s="24" t="str">
        <x:v>独角兕大王/青牛</x:v>
      </x:c>
      <x:c r="C12" s="24" t="str">
        <x:v>第50—52回</x:v>
      </x:c>
      <x:c r="D12" s="24" t="str">
        <x:v>太上老君</x:v>
      </x:c>
      <x:c r="E12" s="24" t="str">
        <x:v>道教/老君坐骑与法宝外溢</x:v>
      </x:c>
      <x:c r="F12" s="24" t="n">
        <x:v>4</x:v>
      </x:c>
      <x:c r="G12" s="24" t="str">
        <x:v>天庭/道教后台</x:v>
      </x:c>
      <x:c r="H12" s="24" t="str">
        <x:v>太上老君</x:v>
      </x:c>
      <x:c r="I12" s="24" t="str">
        <x:v>原系统收束</x:v>
      </x:c>
      <x:c r="J12" s="24" t="str">
        <x:v>工具权力风险样本</x:v>
      </x:c>
      <x:c r="K12" s="24" t="str">
        <x:v>是</x:v>
      </x:c>
      <x:c r="L12" s="24" t="str">
        <x:v>待校核原文</x:v>
      </x:c>
      <x:c r="M12" s="24" t="str">
        <x:v>https://zh.wikisource.org/wiki/西游记/第五十二回</x:v>
      </x:c>
    </x:row>
    <x:row r="13">
      <x:c r="A13" s="24" t="str">
        <x:v>H008</x:v>
      </x:c>
      <x:c r="B13" s="24" t="str">
        <x:v>蝎子精</x:v>
      </x:c>
      <x:c r="C13" s="24" t="str">
        <x:v>第55回</x:v>
      </x:c>
      <x:c r="D13" s="24" t="str">
        <x:v>曾近佛门听经场域/克星属天庭星官</x:v>
      </x:c>
      <x:c r="E13" s="24" t="str">
        <x:v>非典型后台，高危异能与专业克制</x:v>
      </x:c>
      <x:c r="F13" s="24" t="n">
        <x:v>4</x:v>
      </x:c>
      <x:c r="G13" s="24" t="str">
        <x:v>佛门/菩萨/星君后台</x:v>
      </x:c>
      <x:c r="H13" s="24" t="str">
        <x:v>昴日星官</x:v>
      </x:c>
      <x:c r="I13" s="24" t="str">
        <x:v>其他收束</x:v>
      </x:c>
      <x:c r="J13" s="24" t="str">
        <x:v>女性妖怪与专业克制样本</x:v>
      </x:c>
      <x:c r="K13" s="24" t="str">
        <x:v>是</x:v>
      </x:c>
      <x:c r="L13" s="24" t="str">
        <x:v>待校核原文</x:v>
      </x:c>
      <x:c r="M13" s="24" t="str">
        <x:v>https://zh.wikisource.org/wiki/西游记/第五十五回</x:v>
      </x:c>
    </x:row>
    <x:row r="14">
      <x:c r="A14" s="24" t="str">
        <x:v>H009</x:v>
      </x:c>
      <x:c r="B14" s="24" t="str">
        <x:v>六耳猕猴</x:v>
      </x:c>
      <x:c r="C14" s="24" t="str">
        <x:v>第57—58回</x:v>
      </x:c>
      <x:c r="D14" s="24" t="str">
        <x:v>无明确后台/如来识别其类属</x:v>
      </x:c>
      <x:c r="E14" s="24" t="str">
        <x:v>无后台但具同形复制能力</x:v>
      </x:c>
      <x:c r="F14" s="24" t="n">
        <x:v>5</x:v>
      </x:c>
      <x:c r="G14" s="24" t="str">
        <x:v>佛门/菩萨/星君后台</x:v>
      </x:c>
      <x:c r="H14" s="24" t="str">
        <x:v>如来</x:v>
      </x:c>
      <x:c r="I14" s="24" t="str">
        <x:v>最高终裁</x:v>
      </x:c>
      <x:c r="J14" s="24" t="str">
        <x:v>二心与身份危机样本</x:v>
      </x:c>
      <x:c r="K14" s="24" t="str">
        <x:v>是</x:v>
      </x:c>
      <x:c r="L14" s="24" t="str">
        <x:v>待校核原文</x:v>
      </x:c>
      <x:c r="M14" s="24" t="str">
        <x:v>https://zh.wikisource.org/wiki/西游记/第五十八回</x:v>
      </x:c>
    </x:row>
    <x:row r="15">
      <x:c r="A15" s="24" t="str">
        <x:v>H010</x:v>
      </x:c>
      <x:c r="B15" s="24" t="str">
        <x:v>如意真仙</x:v>
      </x:c>
      <x:c r="C15" s="24" t="str">
        <x:v>第53回</x:v>
      </x:c>
      <x:c r="D15" s="24" t="str">
        <x:v>牛魔王亲属链/解阳山资源节点</x:v>
      </x:c>
      <x:c r="E15" s="24" t="str">
        <x:v>亲属关联/资源把守</x:v>
      </x:c>
      <x:c r="F15" s="24" t="n">
        <x:v>4</x:v>
      </x:c>
      <x:c r="G15" s="24" t="str">
        <x:v>家族/亲属/龙族后台</x:v>
      </x:c>
      <x:c r="H15" s="24" t="str">
        <x:v>孙悟空</x:v>
      </x:c>
      <x:c r="I15" s="24" t="str">
        <x:v>取经团队处置</x:v>
      </x:c>
      <x:c r="J15" s="24" t="str">
        <x:v>资源后台/关键节点样本</x:v>
      </x:c>
      <x:c r="K15" s="24" t="str">
        <x:v>是</x:v>
      </x:c>
      <x:c r="L15" s="24" t="str">
        <x:v>待校核原文</x:v>
      </x:c>
      <x:c r="M15" s="24" t="str">
        <x:v>https://zh.wikisource.org/wiki/西游记/第五十三回</x:v>
      </x:c>
    </x:row>
    <x:row r="16">
      <x:c r="A16" s="24" t="str">
        <x:v>H011</x:v>
      </x:c>
      <x:c r="B16" s="24" t="str">
        <x:v>铁扇公主/罗刹女</x:v>
      </x:c>
      <x:c r="C16" s="24" t="str">
        <x:v>第59—61回</x:v>
      </x:c>
      <x:c r="D16" s="24" t="str">
        <x:v>牛魔王家族/芭蕉洞资源系统</x:v>
      </x:c>
      <x:c r="E16" s="24" t="str">
        <x:v>家族后台/关键资源持有者</x:v>
      </x:c>
      <x:c r="F16" s="24" t="n">
        <x:v>5</x:v>
      </x:c>
      <x:c r="G16" s="24" t="str">
        <x:v>家族/亲属/龙族后台</x:v>
      </x:c>
      <x:c r="H16" s="24" t="str">
        <x:v>孙悟空、八戒、天庭外援间接协同</x:v>
      </x:c>
      <x:c r="I16" s="24" t="str">
        <x:v>原系统收束</x:v>
      </x:c>
      <x:c r="J16" s="24" t="str">
        <x:v>关键资源型后台样本</x:v>
      </x:c>
      <x:c r="K16" s="24" t="str">
        <x:v>是</x:v>
      </x:c>
      <x:c r="L16" s="24" t="str">
        <x:v>待校核原文</x:v>
      </x:c>
      <x:c r="M16" s="24" t="str">
        <x:v>https://zh.wikisource.org/wiki/西游记/第五十九回</x:v>
      </x:c>
    </x:row>
    <x:row r="17">
      <x:c r="A17" s="24" t="str">
        <x:v>H012</x:v>
      </x:c>
      <x:c r="B17" s="24" t="str">
        <x:v>牛魔王</x:v>
      </x:c>
      <x:c r="C17" s="24" t="str">
        <x:v>第60—61回</x:v>
      </x:c>
      <x:c r="D17" s="24" t="str">
        <x:v>牛魔王家族/积雷山摩云洞</x:v>
      </x:c>
      <x:c r="E17" s="24" t="str">
        <x:v>家族势力核心/旧交关系</x:v>
      </x:c>
      <x:c r="F17" s="24" t="n">
        <x:v>5</x:v>
      </x:c>
      <x:c r="G17" s="24" t="str">
        <x:v>家族/亲属/龙族后台</x:v>
      </x:c>
      <x:c r="H17" s="24" t="str">
        <x:v>孙悟空、八戒、哪吒、托塔天王等</x:v>
      </x:c>
      <x:c r="I17" s="24" t="str">
        <x:v>原系统收束</x:v>
      </x:c>
      <x:c r="J17" s="24" t="str">
        <x:v>家族链后台核心样本</x:v>
      </x:c>
      <x:c r="K17" s="24" t="str">
        <x:v>否</x:v>
      </x:c>
      <x:c r="L17" s="24" t="str">
        <x:v>待校核原文</x:v>
      </x:c>
      <x:c r="M17" s="24" t="str">
        <x:v>https://zh.wikisource.org/wiki/西游记/第六十一回</x:v>
      </x:c>
    </x:row>
    <x:row r="18">
      <x:c r="A18" s="24" t="str">
        <x:v>H015</x:v>
      </x:c>
      <x:c r="B18" s="24" t="str">
        <x:v>九头虫/万圣龙宫联盟</x:v>
      </x:c>
      <x:c r="C18" s="24" t="str">
        <x:v>第62—63回</x:v>
      </x:c>
      <x:c r="D18" s="24" t="str">
        <x:v>碧波潭地方龙宫及妖怪联盟</x:v>
      </x:c>
      <x:c r="E18" s="24" t="str">
        <x:v>地方势力联盟/非正统后台</x:v>
      </x:c>
      <x:c r="F18" s="24" t="n">
        <x:v>4</x:v>
      </x:c>
      <x:c r="G18" s="24" t="str">
        <x:v>家族/亲属/龙族后台</x:v>
      </x:c>
      <x:c r="H18" s="24" t="str">
        <x:v>悟空、八戒、二郎神等</x:v>
      </x:c>
      <x:c r="I18" s="24" t="str">
        <x:v>取经团队处置</x:v>
      </x:c>
      <x:c r="J18" s="24" t="str">
        <x:v>联盟妖怪样本</x:v>
      </x:c>
      <x:c r="K18" s="24" t="str">
        <x:v>是</x:v>
      </x:c>
      <x:c r="L18" s="24" t="str">
        <x:v>待校核原文</x:v>
      </x:c>
      <x:c r="M18" s="24" t="str">
        <x:v>https://zh.wikisource.org/wiki/西游记/第六十三回</x:v>
      </x:c>
    </x:row>
    <x:row r="19">
      <x:c r="A19" s="24" t="str">
        <x:v>H016</x:v>
      </x:c>
      <x:c r="B19" s="24" t="str">
        <x:v>黄眉老怪</x:v>
      </x:c>
      <x:c r="C19" s="24" t="str">
        <x:v>第65—66回</x:v>
      </x:c>
      <x:c r="D19" s="24" t="str">
        <x:v>弥勒佛系统</x:v>
      </x:c>
      <x:c r="E19" s="24" t="str">
        <x:v>司磬童子携法宝下界</x:v>
      </x:c>
      <x:c r="F19" s="24" t="n">
        <x:v>4</x:v>
      </x:c>
      <x:c r="G19" s="24" t="str">
        <x:v>佛门/菩萨/星君后台</x:v>
      </x:c>
      <x:c r="H19" s="24" t="str">
        <x:v>弥勒佛</x:v>
      </x:c>
      <x:c r="I19" s="24" t="str">
        <x:v>菩萨/星君收束</x:v>
      </x:c>
      <x:c r="J19" s="24" t="str">
        <x:v>伪权威与工具外流样本</x:v>
      </x:c>
      <x:c r="K19" s="24" t="str">
        <x:v>是</x:v>
      </x:c>
      <x:c r="L19" s="24" t="str">
        <x:v>待校核原文</x:v>
      </x:c>
      <x:c r="M19" s="24" t="str">
        <x:v>https://zh.wikisource.org/wiki/西游记/第六十六回</x:v>
      </x:c>
    </x:row>
    <x:row r="20">
      <x:c r="A20" s="24" t="str">
        <x:v>H014</x:v>
      </x:c>
      <x:c r="B20" s="24" t="str">
        <x:v>赛太岁/金毛犼</x:v>
      </x:c>
      <x:c r="C20" s="24" t="str">
        <x:v>第69—71回</x:v>
      </x:c>
      <x:c r="D20" s="24" t="str">
        <x:v>观音坐骑系统</x:v>
      </x:c>
      <x:c r="E20" s="24" t="str">
        <x:v>佛门/观音坐骑</x:v>
      </x:c>
      <x:c r="F20" s="24" t="n">
        <x:v>4</x:v>
      </x:c>
      <x:c r="G20" s="24" t="str">
        <x:v>佛门/菩萨/星君后台</x:v>
      </x:c>
      <x:c r="H20" s="24" t="str">
        <x:v>观音</x:v>
      </x:c>
      <x:c r="I20" s="24" t="str">
        <x:v>菩萨/星君收束</x:v>
      </x:c>
      <x:c r="J20" s="24" t="str">
        <x:v>后台坐骑与法宝外溢典型样本</x:v>
      </x:c>
      <x:c r="K20" s="24" t="str">
        <x:v>是</x:v>
      </x:c>
      <x:c r="L20" s="24" t="str">
        <x:v>待校核原文</x:v>
      </x:c>
      <x:c r="M20" s="24" t="str">
        <x:v>https://zh.wikisource.org/wiki/西游记/第七十一回</x:v>
      </x:c>
    </x:row>
    <x:row r="21">
      <x:c r="A21" s="24" t="str">
        <x:v>H017</x:v>
      </x:c>
      <x:c r="B21" s="24" t="str">
        <x:v>蜘蛛精</x:v>
      </x:c>
      <x:c r="C21" s="24" t="str">
        <x:v>第72—73回</x:v>
      </x:c>
      <x:c r="D21" s="24" t="str">
        <x:v>盘丝洞地方妖怪</x:v>
      </x:c>
      <x:c r="E21" s="24" t="str">
        <x:v>非典型后台/地方群体</x:v>
      </x:c>
      <x:c r="F21" s="24" t="n">
        <x:v>4</x:v>
      </x:c>
      <x:c r="G21" s="24" t="str">
        <x:v>其他/复合型</x:v>
      </x:c>
      <x:c r="H21" s="24" t="str">
        <x:v>悟空</x:v>
      </x:c>
      <x:c r="I21" s="24" t="str">
        <x:v>取经团队处置</x:v>
      </x:c>
      <x:c r="J21" s="24" t="str">
        <x:v>女性妖怪群像/欲望风险</x:v>
      </x:c>
      <x:c r="K21" s="24" t="str">
        <x:v>是</x:v>
      </x:c>
      <x:c r="L21" s="24" t="str">
        <x:v>待校核原文</x:v>
      </x:c>
      <x:c r="M21" s="24" t="str">
        <x:v>https://zh.wikisource.org/wiki/西游记/第72回</x:v>
      </x:c>
    </x:row>
    <x:row r="22">
      <x:c r="A22" s="24" t="str">
        <x:v>H018</x:v>
      </x:c>
      <x:c r="B22" s="24" t="str">
        <x:v>蜈蚣精/多目怪</x:v>
      </x:c>
      <x:c r="C22" s="24" t="str">
        <x:v>第73回</x:v>
      </x:c>
      <x:c r="D22" s="24" t="str">
        <x:v>黄花观/与蜘蛛精相关</x:v>
      </x:c>
      <x:c r="E22" s="24" t="str">
        <x:v>非典型后台/旧怨关系链</x:v>
      </x:c>
      <x:c r="F22" s="24" t="n">
        <x:v>4</x:v>
      </x:c>
      <x:c r="G22" s="24" t="str">
        <x:v>其他/复合型</x:v>
      </x:c>
      <x:c r="H22" s="24" t="str">
        <x:v>毗蓝婆菩萨</x:v>
      </x:c>
      <x:c r="I22" s="24" t="str">
        <x:v>其他收束</x:v>
      </x:c>
      <x:c r="J22" s="24" t="str">
        <x:v>外部专家救援样本</x:v>
      </x:c>
      <x:c r="K22" s="24" t="str">
        <x:v>是</x:v>
      </x:c>
      <x:c r="L22" s="24" t="str">
        <x:v>待校核原文</x:v>
      </x:c>
      <x:c r="M22" s="24" t="str">
        <x:v>https://zh.wikisource.org/wiki/西游记/第73回</x:v>
      </x:c>
    </x:row>
    <x:row r="23">
      <x:c r="A23" s="24" t="str">
        <x:v>H019</x:v>
      </x:c>
      <x:c r="B23" s="24" t="str">
        <x:v>青狮精/青毛狮子</x:v>
      </x:c>
      <x:c r="C23" s="24" t="str">
        <x:v>第74—77回</x:v>
      </x:c>
      <x:c r="D23" s="24" t="str">
        <x:v>文殊菩萨坐骑系统</x:v>
      </x:c>
      <x:c r="E23" s="24" t="str">
        <x:v>佛门坐骑后台</x:v>
      </x:c>
      <x:c r="F23" s="24" t="n">
        <x:v>5</x:v>
      </x:c>
      <x:c r="G23" s="24" t="str">
        <x:v>佛门/菩萨/星君后台</x:v>
      </x:c>
      <x:c r="H23" s="24" t="str">
        <x:v>文殊菩萨</x:v>
      </x:c>
      <x:c r="I23" s="24" t="str">
        <x:v>菩萨/星君收束</x:v>
      </x:c>
      <x:c r="J23" s="24" t="str">
        <x:v>后台坐骑样本/集团化风险</x:v>
      </x:c>
      <x:c r="K23" s="24" t="str">
        <x:v>是</x:v>
      </x:c>
      <x:c r="L23" s="24" t="str">
        <x:v>待校核原文</x:v>
      </x:c>
      <x:c r="M23" s="24" t="str">
        <x:v>https://zh.wikisource.org/wiki/西游记/第七十七回</x:v>
      </x:c>
    </x:row>
    <x:row r="24">
      <x:c r="A24" s="24" t="str">
        <x:v>H020</x:v>
      </x:c>
      <x:c r="B24" s="24" t="str">
        <x:v>白象精/黄牙老象</x:v>
      </x:c>
      <x:c r="C24" s="24" t="str">
        <x:v>第74—77回</x:v>
      </x:c>
      <x:c r="D24" s="24" t="str">
        <x:v>普贤菩萨坐骑系统</x:v>
      </x:c>
      <x:c r="E24" s="24" t="str">
        <x:v>佛门坐骑后台</x:v>
      </x:c>
      <x:c r="F24" s="24" t="n">
        <x:v>5</x:v>
      </x:c>
      <x:c r="G24" s="24" t="str">
        <x:v>佛门/菩萨/星君后台</x:v>
      </x:c>
      <x:c r="H24" s="24" t="str">
        <x:v>普贤菩萨</x:v>
      </x:c>
      <x:c r="I24" s="24" t="str">
        <x:v>菩萨/星君收束</x:v>
      </x:c>
      <x:c r="J24" s="24" t="str">
        <x:v>后台坐骑样本/集团化风险</x:v>
      </x:c>
      <x:c r="K24" s="24" t="str">
        <x:v>是</x:v>
      </x:c>
      <x:c r="L24" s="24" t="str">
        <x:v>待校核原文</x:v>
      </x:c>
      <x:c r="M24" s="24" t="str">
        <x:v>https://zh.wikisource.org/wiki/西游记/第七十七回</x:v>
      </x:c>
    </x:row>
    <x:row r="25">
      <x:c r="A25" s="24" t="str">
        <x:v>H021</x:v>
      </x:c>
      <x:c r="B25" s="24" t="str">
        <x:v>大鹏金翅雕</x:v>
      </x:c>
      <x:c r="C25" s="24" t="str">
        <x:v>第74—77回</x:v>
      </x:c>
      <x:c r="D25" s="24" t="str">
        <x:v>如来相关系统/特殊亲缘关系</x:v>
      </x:c>
      <x:c r="E25" s="24" t="str">
        <x:v>强后台/特殊关系对象</x:v>
      </x:c>
      <x:c r="F25" s="24" t="n">
        <x:v>5</x:v>
      </x:c>
      <x:c r="G25" s="24" t="str">
        <x:v>佛门/菩萨/星君后台</x:v>
      </x:c>
      <x:c r="H25" s="24" t="str">
        <x:v>如来佛祖</x:v>
      </x:c>
      <x:c r="I25" s="24" t="str">
        <x:v>最高终裁</x:v>
      </x:c>
      <x:c r="J25" s="24" t="str">
        <x:v>后台边界高峰样本</x:v>
      </x:c>
      <x:c r="K25" s="24" t="str">
        <x:v>是</x:v>
      </x:c>
      <x:c r="L25" s="24" t="str">
        <x:v>待校核原文</x:v>
      </x:c>
      <x:c r="M25" s="24" t="str">
        <x:v>https://zh.wikisource.org/wiki/西游记/第七十七回</x:v>
      </x:c>
    </x:row>
    <x:row r="26">
      <x:c r="A26" s="24" t="str">
        <x:v>H023</x:v>
      </x:c>
      <x:c r="B26" s="24" t="str">
        <x:v>白鹿精/比丘国国丈</x:v>
      </x:c>
      <x:c r="C26" s="24" t="str">
        <x:v>第78—79回</x:v>
      </x:c>
      <x:c r="D26" s="24" t="str">
        <x:v>南极老人/寿星系统</x:v>
      </x:c>
      <x:c r="E26" s="24" t="str">
        <x:v>坐骑后台</x:v>
      </x:c>
      <x:c r="F26" s="24" t="n">
        <x:v>5</x:v>
      </x:c>
      <x:c r="G26" s="24" t="str">
        <x:v>佛门/菩萨/星君后台</x:v>
      </x:c>
      <x:c r="H26" s="24" t="str">
        <x:v>南极老人</x:v>
      </x:c>
      <x:c r="I26" s="24" t="str">
        <x:v>菩萨/星君收束</x:v>
      </x:c>
      <x:c r="J26" s="24" t="str">
        <x:v>儿童保护与王权失序典型</x:v>
      </x:c>
      <x:c r="K26" s="24" t="str">
        <x:v>是</x:v>
      </x:c>
      <x:c r="L26" s="24" t="str">
        <x:v>待校核原文</x:v>
      </x:c>
      <x:c r="M26" s="24" t="str">
        <x:v>https://zh.wikisource.org/wiki/西游记/第七十九回</x:v>
      </x:c>
    </x:row>
    <x:row r="27">
      <x:c r="A27" s="24" t="str">
        <x:v>H024</x:v>
      </x:c>
      <x:c r="B27" s="24" t="str">
        <x:v>狐狸精/美后</x:v>
      </x:c>
      <x:c r="C27" s="24" t="str">
        <x:v>第78—79回</x:v>
      </x:c>
      <x:c r="D27" s="24" t="str">
        <x:v>未明/白鹿精同党</x:v>
      </x:c>
      <x:c r="E27" s="24" t="str">
        <x:v>宫廷同谋/色欲后台弱</x:v>
      </x:c>
      <x:c r="F27" s="24" t="n">
        <x:v>5</x:v>
      </x:c>
      <x:c r="G27" s="24" t="str">
        <x:v>王权/制度寄生</x:v>
      </x:c>
      <x:c r="H27" s="24" t="str">
        <x:v>孙悟空</x:v>
      </x:c>
      <x:c r="I27" s="24" t="str">
        <x:v>取经团队处置</x:v>
      </x:c>
      <x:c r="J27" s="24" t="str">
        <x:v>宫廷妖邪样本</x:v>
      </x:c>
      <x:c r="K27" s="24" t="str">
        <x:v>是</x:v>
      </x:c>
      <x:c r="L27" s="24" t="str">
        <x:v>待校核原文</x:v>
      </x:c>
      <x:c r="M27" s="24" t="str">
        <x:v>https://zh.wikisource.org/wiki/西游记/第七十九回</x:v>
      </x:c>
    </x:row>
    <x:row r="28">
      <x:c r="A28" s="24" t="str">
        <x:v>H025</x:v>
      </x:c>
      <x:c r="B28" s="24" t="str">
        <x:v>地涌夫人/金鼻白毛老鼠精</x:v>
      </x:c>
      <x:c r="C28" s="24" t="str">
        <x:v>第80—83回</x:v>
      </x:c>
      <x:c r="D28" s="24" t="str">
        <x:v>托塔天王、哪吒关系链</x:v>
      </x:c>
      <x:c r="E28" s="24" t="str">
        <x:v>义亲/供奉关系后台</x:v>
      </x:c>
      <x:c r="F28" s="24" t="n">
        <x:v>4</x:v>
      </x:c>
      <x:c r="G28" s="24" t="str">
        <x:v>天庭/道教后台</x:v>
      </x:c>
      <x:c r="H28" s="24" t="str">
        <x:v>托塔天王、哪吒协同</x:v>
      </x:c>
      <x:c r="I28" s="24" t="str">
        <x:v>原系统收束</x:v>
      </x:c>
      <x:c r="J28" s="24" t="str">
        <x:v>后台类型扩展样本</x:v>
      </x:c>
      <x:c r="K28" s="24" t="str">
        <x:v>是</x:v>
      </x:c>
      <x:c r="L28" s="24" t="str">
        <x:v>待校核原文</x:v>
      </x:c>
      <x:c r="M28" s="24" t="str">
        <x:v>https://zh.wikisource.org/wiki/西游记/第八十三回</x:v>
      </x:c>
    </x:row>
    <x:row r="29">
      <x:c r="A29" s="24" t="str">
        <x:v>H026</x:v>
      </x:c>
      <x:c r="B29" s="24" t="str">
        <x:v>南山大王/豹子精</x:v>
      </x:c>
      <x:c r="C29" s="24" t="str">
        <x:v>第85—86回</x:v>
      </x:c>
      <x:c r="D29" s="24" t="str">
        <x:v>无明确高层后台/隐雾山地方妖怪</x:v>
      </x:c>
      <x:c r="E29" s="24" t="str">
        <x:v>非后台/地方山林妖怪</x:v>
      </x:c>
      <x:c r="F29" s="24" t="n">
        <x:v>4</x:v>
      </x:c>
      <x:c r="G29" s="24" t="str">
        <x:v>非后台高风险</x:v>
      </x:c>
      <x:c r="H29" s="24" t="str">
        <x:v>孙悟空、猪八戒</x:v>
      </x:c>
      <x:c r="I29" s="24" t="str">
        <x:v>取经团队处置</x:v>
      </x:c>
      <x:c r="J29" s="24" t="str">
        <x:v>非后台对照样本</x:v>
      </x:c>
      <x:c r="K29" s="24" t="str">
        <x:v>是</x:v>
      </x:c>
      <x:c r="L29" s="24" t="str">
        <x:v>待校核原文</x:v>
      </x:c>
      <x:c r="M29" s="24" t="str">
        <x:v>https://zh.wikisource.org/wiki/西游记/第八十六回</x:v>
      </x:c>
    </x:row>
    <x:row r="30">
      <x:c r="A30" s="24" t="str">
        <x:v>H027</x:v>
      </x:c>
      <x:c r="B30" s="24" t="str">
        <x:v>灭法国王</x:v>
      </x:c>
      <x:c r="C30" s="24" t="str">
        <x:v>第84回</x:v>
      </x:c>
      <x:c r="D30" s="24" t="str">
        <x:v>人间王权系统</x:v>
      </x:c>
      <x:c r="E30" s="24" t="str">
        <x:v>非妖怪/制度风险</x:v>
      </x:c>
      <x:c r="F30" s="24" t="n">
        <x:v>5</x:v>
      </x:c>
      <x:c r="G30" s="24" t="str">
        <x:v>王权/制度寄生</x:v>
      </x:c>
      <x:c r="H30" s="24" t="str">
        <x:v>孙悟空</x:v>
      </x:c>
      <x:c r="I30" s="24" t="str">
        <x:v>取经团队处置</x:v>
      </x:c>
      <x:c r="J30" s="24" t="str">
        <x:v>非妖之难对照样本</x:v>
      </x:c>
      <x:c r="K30" s="24" t="str">
        <x:v>否</x:v>
      </x:c>
      <x:c r="L30" s="24" t="str">
        <x:v>待校核原文</x:v>
      </x:c>
      <x:c r="M30" s="24" t="str">
        <x:v>https://zh.wikisource.org/wiki/西游记/第八十四回</x:v>
      </x:c>
    </x:row>
    <x:row r="31">
      <x:c r="A31" s="24" t="str">
        <x:v>H028</x:v>
      </x:c>
      <x:c r="B31" s="24" t="str">
        <x:v>黄狮精</x:v>
      </x:c>
      <x:c r="C31" s="24" t="str">
        <x:v>第89—90回</x:v>
      </x:c>
      <x:c r="D31" s="24" t="str">
        <x:v>九灵元圣体系下游/豹头山地方妖怪</x:v>
      </x:c>
      <x:c r="E31" s="24" t="str">
        <x:v>弱后台/下游关联</x:v>
      </x:c>
      <x:c r="F31" s="24" t="n">
        <x:v>5</x:v>
      </x:c>
      <x:c r="G31" s="24" t="str">
        <x:v>其他/复合型</x:v>
      </x:c>
      <x:c r="H31" s="24" t="str">
        <x:v>孙悟空、猪八戒、沙僧；后续牵出九灵元圣</x:v>
      </x:c>
      <x:c r="I31" s="24" t="str">
        <x:v>取经团队处置</x:v>
      </x:c>
      <x:c r="J31" s="24" t="str">
        <x:v>资源盗取与后台升级样本</x:v>
      </x:c>
      <x:c r="K31" s="24" t="str">
        <x:v>是</x:v>
      </x:c>
      <x:c r="L31" s="24" t="str">
        <x:v>待校核原文</x:v>
      </x:c>
      <x:c r="M31" s="24" t="str">
        <x:v>https://zh.wikisource.org/wiki/西游记/第八十九回</x:v>
      </x:c>
    </x:row>
    <x:row r="32">
      <x:c r="A32" s="24" t="str">
        <x:v>H029</x:v>
      </x:c>
      <x:c r="B32" s="24" t="str">
        <x:v>九灵元圣/九头狮子</x:v>
      </x:c>
      <x:c r="C32" s="24" t="str">
        <x:v>第90回</x:v>
      </x:c>
      <x:c r="D32" s="24" t="str">
        <x:v>太乙救苦天尊系统</x:v>
      </x:c>
      <x:c r="E32" s="24" t="str">
        <x:v>高阶坐骑后台</x:v>
      </x:c>
      <x:c r="F32" s="24" t="n">
        <x:v>5</x:v>
      </x:c>
      <x:c r="G32" s="24" t="str">
        <x:v>佛门/菩萨/星君后台</x:v>
      </x:c>
      <x:c r="H32" s="24" t="str">
        <x:v>太乙救苦天尊</x:v>
      </x:c>
      <x:c r="I32" s="24" t="str">
        <x:v>菩萨/星君收束</x:v>
      </x:c>
      <x:c r="J32" s="24" t="str">
        <x:v>后台妖怪高阶样本</x:v>
      </x:c>
      <x:c r="K32" s="24" t="str">
        <x:v>是</x:v>
      </x:c>
      <x:c r="L32" s="24" t="str">
        <x:v>待校核原文</x:v>
      </x:c>
      <x:c r="M32" s="24" t="str">
        <x:v>https://zh.wikisource.org/wiki/西游记/第九十回</x:v>
      </x:c>
    </x:row>
    <x:row r="33">
      <x:c r="A33" s="24" t="str">
        <x:v>H030</x:v>
      </x:c>
      <x:c r="B33" s="24" t="str">
        <x:v>凤仙郡侯</x:v>
      </x:c>
      <x:c r="C33" s="24" t="str">
        <x:v>第87回</x:v>
      </x:c>
      <x:c r="D33" s="24" t="str">
        <x:v>人间地方治理系统</x:v>
      </x:c>
      <x:c r="E33" s="24" t="str">
        <x:v>非妖怪/治理失德风险</x:v>
      </x:c>
      <x:c r="F33" s="24" t="n">
        <x:v>3</x:v>
      </x:c>
      <x:c r="G33" s="24" t="str">
        <x:v>其他/复合型</x:v>
      </x:c>
      <x:c r="H33" s="24" t="str">
        <x:v>孙悟空协调天庭，郡侯悔过</x:v>
      </x:c>
      <x:c r="I33" s="24" t="str">
        <x:v>原系统收束</x:v>
      </x:c>
      <x:c r="J33" s="24" t="str">
        <x:v>天灾治理对照样本</x:v>
      </x:c>
      <x:c r="K33" s="24" t="str">
        <x:v>否</x:v>
      </x:c>
      <x:c r="L33" s="24" t="str">
        <x:v>待校核原文</x:v>
      </x:c>
      <x:c r="M33" s="24" t="str">
        <x:v>https://zh.wikisource.org/wiki/西游记/第八十七回</x:v>
      </x:c>
    </x:row>
    <x:row r="34">
      <x:c r="A34" s="24" t="str">
        <x:v>H031</x:v>
      </x:c>
      <x:c r="B34" s="24" t="str">
        <x:v>三犀牛怪/辟寒辟暑辟尘</x:v>
      </x:c>
      <x:c r="C34" s="24" t="str">
        <x:v>第91—92回</x:v>
      </x:c>
      <x:c r="D34" s="24" t="str">
        <x:v>玄英洞/青龙山地方妖怪系统</x:v>
      </x:c>
      <x:c r="E34" s="24" t="str">
        <x:v>非明确高层后台/地方供奉型妖怪</x:v>
      </x:c>
      <x:c r="F34" s="24" t="n">
        <x:v>4</x:v>
      </x:c>
      <x:c r="G34" s="24" t="str">
        <x:v>王权/制度寄生</x:v>
      </x:c>
      <x:c r="H34" s="24" t="str">
        <x:v>四木禽星、悟空等</x:v>
      </x:c>
      <x:c r="I34" s="24" t="str">
        <x:v>取经团队处置</x:v>
      </x:c>
      <x:c r="J34" s="24" t="str">
        <x:v>祭祀经济型妖怪样本</x:v>
      </x:c>
      <x:c r="K34" s="24" t="str">
        <x:v>是</x:v>
      </x:c>
      <x:c r="L34" s="24" t="str">
        <x:v>待校核原文</x:v>
      </x:c>
      <x:c r="M34" s="24" t="str">
        <x:v>https://zh.wikisource.org/wiki/西游记/第九十二回</x:v>
      </x:c>
    </x:row>
    <x:row r="35">
      <x:c r="A35" s="24" t="str">
        <x:v>H032</x:v>
      </x:c>
      <x:c r="B35" s="24" t="str">
        <x:v>玉兔精/假公主</x:v>
      </x:c>
      <x:c r="C35" s="24" t="str">
        <x:v>第94—95回</x:v>
      </x:c>
      <x:c r="D35" s="24" t="str">
        <x:v>太阴星君/月宫系统</x:v>
      </x:c>
      <x:c r="E35" s="24" t="str">
        <x:v>月宫后台/身份替换型</x:v>
      </x:c>
      <x:c r="F35" s="24" t="n">
        <x:v>5</x:v>
      </x:c>
      <x:c r="G35" s="24" t="str">
        <x:v>佛门/菩萨/星君后台</x:v>
      </x:c>
      <x:c r="H35" s="24" t="str">
        <x:v>太阴星君、孙悟空</x:v>
      </x:c>
      <x:c r="I35" s="24" t="str">
        <x:v>菩萨/星君收束</x:v>
      </x:c>
      <x:c r="J35" s="24" t="str">
        <x:v>最后阶段身份迷障样本</x:v>
      </x:c>
      <x:c r="K35" s="24" t="str">
        <x:v>是</x:v>
      </x:c>
      <x:c r="L35" s="24" t="str">
        <x:v>待校核原文</x:v>
      </x:c>
      <x:c r="M35" s="24" t="str">
        <x:v>https://zh.wikisource.org/wiki/西游记/第九十五回</x:v>
      </x:c>
    </x:row>
    <x:row r="36">
      <x:c r="A36" s="24" t="str">
        <x:v>H033</x:v>
      </x:c>
      <x:c r="B36" s="24" t="str">
        <x:v>金平府供奉系统</x:v>
      </x:c>
      <x:c r="C36" s="24" t="str">
        <x:v>第91回</x:v>
      </x:c>
      <x:c r="D36" s="24" t="str">
        <x:v>人间地方信仰/寺院供奉</x:v>
      </x:c>
      <x:c r="E36" s="24" t="str">
        <x:v>非妖怪/制度化供奉风险</x:v>
      </x:c>
      <x:c r="F36" s="24" t="n">
        <x:v>3</x:v>
      </x:c>
      <x:c r="G36" s="24" t="str">
        <x:v>王权/制度寄生</x:v>
      </x:c>
      <x:c r="H36" s="24" t="str">
        <x:v>孙悟空识别，四木禽星收束妖怪</x:v>
      </x:c>
      <x:c r="I36" s="24" t="str">
        <x:v>取经团队处置</x:v>
      </x:c>
      <x:c r="J36" s="24" t="str">
        <x:v>非妖之难对照样本</x:v>
      </x:c>
      <x:c r="K36" s="24" t="str">
        <x:v>否</x:v>
      </x:c>
      <x:c r="L36" s="24" t="str">
        <x:v>待校核原文</x:v>
      </x:c>
      <x:c r="M36" s="24" t="str">
        <x:v>https://zh.wikisource.org/wiki/西游记/第九十一回</x:v>
      </x:c>
    </x:row>
    <x:row r="37">
      <x:c r="A37" s="24" t="str">
        <x:v>H034</x:v>
      </x:c>
      <x:c r="B37" s="24" t="str">
        <x:v>天竺国身份替换风险</x:v>
      </x:c>
      <x:c r="C37" s="24" t="str">
        <x:v>第93—95回</x:v>
      </x:c>
      <x:c r="D37" s="24" t="str">
        <x:v>人间王权与月宫系统交叉</x:v>
      </x:c>
      <x:c r="E37" s="24" t="str">
        <x:v>非单一妖怪/制度场景风险</x:v>
      </x:c>
      <x:c r="F37" s="24" t="n">
        <x:v>5</x:v>
      </x:c>
      <x:c r="G37" s="24" t="str">
        <x:v>王权/制度寄生</x:v>
      </x:c>
      <x:c r="H37" s="24" t="str">
        <x:v>孙悟空、太阴星君</x:v>
      </x:c>
      <x:c r="I37" s="24" t="str">
        <x:v>菩萨/星君收束</x:v>
      </x:c>
      <x:c r="J37" s="24" t="str">
        <x:v>王权身份风险样本</x:v>
      </x:c>
      <x:c r="K37" s="24" t="str">
        <x:v>否</x:v>
      </x:c>
      <x:c r="L37" s="24" t="str">
        <x:v>待校核原文</x:v>
      </x:c>
      <x:c r="M37" s="24" t="str">
        <x:v>https://zh.wikisource.org/wiki/西游记/第九十五回</x:v>
      </x:c>
    </x:row>
    <x:row r="38">
      <x:c r="A38" s="24" t="str">
        <x:v>H035</x:v>
      </x:c>
      <x:c r="B38" s="24" t="str">
        <x:v>寇员外冤案/地方治安风险</x:v>
      </x:c>
      <x:c r="C38" s="24" t="str">
        <x:v>第96—97回</x:v>
      </x:c>
      <x:c r="D38" s="24" t="str">
        <x:v>人间地方社会/盗匪系统</x:v>
      </x:c>
      <x:c r="E38" s="24" t="str">
        <x:v>非妖怪/善缘反噬型风险</x:v>
      </x:c>
      <x:c r="F38" s="24" t="n">
        <x:v>3</x:v>
      </x:c>
      <x:c r="G38" s="24" t="str">
        <x:v>其他/复合型</x:v>
      </x:c>
      <x:c r="H38" s="24" t="str">
        <x:v>孙悟空、地府/地方官府相关系统</x:v>
      </x:c>
      <x:c r="I38" s="24" t="str">
        <x:v>取经团队处置</x:v>
      </x:c>
      <x:c r="J38" s="24" t="str">
        <x:v>非妖之难/冤案样本</x:v>
      </x:c>
      <x:c r="K38" s="24" t="str">
        <x:v>否</x:v>
      </x:c>
      <x:c r="L38" s="24" t="str">
        <x:v>待校核原文</x:v>
      </x:c>
      <x:c r="M38" s="24" t="str">
        <x:v>https://zh.wikisource.org/wiki/西游记/第九十七回</x:v>
      </x:c>
    </x:row>
    <x:row r="39">
      <x:c r="A39" s="24" t="str">
        <x:v>H036</x:v>
      </x:c>
      <x:c r="B39" s="24" t="str">
        <x:v>阿傩迦叶传经流程</x:v>
      </x:c>
      <x:c r="C39" s="24" t="str">
        <x:v>第98回</x:v>
      </x:c>
      <x:c r="D39" s="24" t="str">
        <x:v>灵山交付系统</x:v>
      </x:c>
      <x:c r="E39" s="24" t="str">
        <x:v>非妖怪/终局流程风险</x:v>
      </x:c>
      <x:c r="F39" s="24" t="n">
        <x:v>3</x:v>
      </x:c>
      <x:c r="G39" s="24" t="str">
        <x:v>佛门/菩萨/星君后台</x:v>
      </x:c>
      <x:c r="H39" s="24" t="str">
        <x:v>燃灯古佛、如来系统</x:v>
      </x:c>
      <x:c r="I39" s="24" t="str">
        <x:v>最高终裁</x:v>
      </x:c>
      <x:c r="J39" s="24" t="str">
        <x:v>无字经/交付风险核心样本</x:v>
      </x:c>
      <x:c r="K39" s="24" t="str">
        <x:v>否</x:v>
      </x:c>
      <x:c r="L39" s="24" t="str">
        <x:v>待校核原文</x:v>
      </x:c>
      <x:c r="M39" s="24" t="str">
        <x:v>https://zh.wikisource.org/wiki/西游记/第九十八回</x:v>
      </x:c>
    </x:row>
    <x:row r="40">
      <x:c r="A40" s="24" t="str">
        <x:v>H037</x:v>
      </x:c>
      <x:c r="B40" s="24" t="str">
        <x:v>无字经风险</x:v>
      </x:c>
      <x:c r="C40" s="24" t="str">
        <x:v>第98回</x:v>
      </x:c>
      <x:c r="D40" s="24" t="str">
        <x:v>灵山经卷系统</x:v>
      </x:c>
      <x:c r="E40" s="24" t="str">
        <x:v>非妖怪/成果真伪风险</x:v>
      </x:c>
      <x:c r="F40" s="24" t="n">
        <x:v>3</x:v>
      </x:c>
      <x:c r="G40" s="24" t="str">
        <x:v>佛门/菩萨/星君后台</x:v>
      </x:c>
      <x:c r="H40" s="24" t="str">
        <x:v>燃灯古佛、唐僧返换</x:v>
      </x:c>
      <x:c r="I40" s="24" t="str">
        <x:v>其他收束</x:v>
      </x:c>
      <x:c r="J40" s="24" t="str">
        <x:v>成果质量风险样本</x:v>
      </x:c>
      <x:c r="K40" s="24" t="str">
        <x:v>否</x:v>
      </x:c>
      <x:c r="L40" s="24" t="str">
        <x:v>待校核原文</x:v>
      </x:c>
      <x:c r="M40" s="24" t="str">
        <x:v>https://zh.wikisource.org/wiki/西游记/第九十八回</x:v>
      </x:c>
    </x:row>
    <x:row r="41">
      <x:c r="A41" s="24" t="str">
        <x:v>H038</x:v>
      </x:c>
      <x:c r="B41" s="24" t="str">
        <x:v>老鼋补难风险</x:v>
      </x:c>
      <x:c r="C41" s="24" t="str">
        <x:v>第99回</x:v>
      </x:c>
      <x:c r="D41" s="24" t="str">
        <x:v>通天河/承诺关系/观音难数系统</x:v>
      </x:c>
      <x:c r="E41" s="24" t="str">
        <x:v>非妖怪/回程补难风险</x:v>
      </x:c>
      <x:c r="F41" s="24" t="n">
        <x:v>3</x:v>
      </x:c>
      <x:c r="G41" s="24" t="str">
        <x:v>佛门/菩萨/星君后台</x:v>
      </x:c>
      <x:c r="H41" s="24" t="str">
        <x:v>观音难数系统、师徒晒经</x:v>
      </x:c>
      <x:c r="I41" s="24" t="str">
        <x:v>菩萨/星君收束</x:v>
      </x:c>
      <x:c r="J41" s="24" t="str">
        <x:v>最后一难样本</x:v>
      </x:c>
      <x:c r="K41" s="24" t="str">
        <x:v>是</x:v>
      </x:c>
      <x:c r="L41" s="24" t="str">
        <x:v>待校核原文</x:v>
      </x:c>
      <x:c r="M41" s="24" t="str">
        <x:v>https://zh.wikisource.org/wiki/西游记/第九十九回</x:v>
      </x:c>
    </x:row>
    <x:row r="42">
      <x:c r="A42" s="24" t="str">
        <x:v>H039</x:v>
      </x:c>
      <x:c r="B42" s="24" t="str">
        <x:v>五圣成真评价系统</x:v>
      </x:c>
      <x:c r="C42" s="24" t="str">
        <x:v>第100回</x:v>
      </x:c>
      <x:c r="D42" s="24" t="str">
        <x:v>如来/灵山最高评价系统</x:v>
      </x:c>
      <x:c r="E42" s="24" t="str">
        <x:v>非妖怪/功德评价与角色归位</x:v>
      </x:c>
      <x:c r="F42" s="24" t="n">
        <x:v>5</x:v>
      </x:c>
      <x:c r="G42" s="24" t="str">
        <x:v>佛门/菩萨/星君后台</x:v>
      </x:c>
      <x:c r="H42" s="24" t="str">
        <x:v>如来佛祖</x:v>
      </x:c>
      <x:c r="I42" s="24" t="str">
        <x:v>最高终裁</x:v>
      </x:c>
      <x:c r="J42" s="24" t="str">
        <x:v>终局评价样本</x:v>
      </x:c>
      <x:c r="K42" s="24" t="str">
        <x:v>否</x:v>
      </x:c>
      <x:c r="L42" s="24" t="str">
        <x:v>待校核原文</x:v>
      </x:c>
      <x:c r="M42" s="24" t="str">
        <x:v>https://zh.wikisource.org/wiki/西游记/第一百回</x:v>
      </x:c>
    </x:row>
    <x:row r="43">
      <x:c r="A43" s="24" t="str">
        <x:v>H040</x:v>
      </x:c>
      <x:c r="B43" s="24" t="str">
        <x:v>大唐真经回传系统</x:v>
      </x:c>
      <x:c r="C43" s="24" t="str">
        <x:v>第100回</x:v>
      </x:c>
      <x:c r="D43" s="24" t="str">
        <x:v>大唐王权/佛教传播系统</x:v>
      </x:c>
      <x:c r="E43" s="24" t="str">
        <x:v>非妖怪/成果回传系统</x:v>
      </x:c>
      <x:c r="F43" s="24" t="n">
        <x:v>5</x:v>
      </x:c>
      <x:c r="G43" s="24" t="str">
        <x:v>王权/制度寄生</x:v>
      </x:c>
      <x:c r="H43" s="24" t="str">
        <x:v>唐太宗、唐僧团队</x:v>
      </x:c>
      <x:c r="I43" s="24" t="str">
        <x:v>其他收束</x:v>
      </x:c>
      <x:c r="J43" s="24" t="str">
        <x:v>项目闭环样本</x:v>
      </x:c>
      <x:c r="K43" s="24" t="str">
        <x:v>否</x:v>
      </x:c>
      <x:c r="L43" s="24" t="str">
        <x:v>待校核原文</x:v>
      </x:c>
      <x:c r="M43" s="24" t="str">
        <x:v>https://zh.wikisource.org/wiki/西游记/第一百回</x:v>
      </x:c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</x:row>
    <x:row r="47">
      <x:c r="A47" s="147" t="str">
        <x:v>后台风险类型汇总</x:v>
      </x:c>
      <x:c r="B47" s="147"/>
      <x:c r="C47" s="147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</x:row>
    <x:row r="48">
      <x:c r="A48" s="152" t="str">
        <x:v>风险类型归并</x:v>
      </x:c>
      <x:c r="B48" s="152" t="str">
        <x:v>样本数</x:v>
      </x:c>
      <x:c r="C48" s="152" t="str">
        <x:v>解读</x:v>
      </x:c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</x:row>
    <x:row r="49">
      <x:c r="A49" s="24" t="str">
        <x:v>佛门/菩萨/星君后台</x:v>
      </x:c>
      <x:c r="B49" s="24" t="n">
        <x:v>17</x:v>
      </x:c>
      <x:c r="C49" s="24" t="str">
        <x:v>用于后台妖怪矩阵和专题写作分组。</x:v>
      </x:c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</x:row>
    <x:row r="50">
      <x:c r="A50" s="24" t="str">
        <x:v>王权/制度寄生</x:v>
      </x:c>
      <x:c r="B50" s="24" t="n">
        <x:v>7</x:v>
      </x:c>
      <x:c r="C50" s="24" t="str">
        <x:v>用于后台妖怪矩阵和专题写作分组。</x:v>
      </x:c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</x:row>
    <x:row r="51">
      <x:c r="A51" s="24" t="str">
        <x:v>家族/亲属/龙族后台</x:v>
      </x:c>
      <x:c r="B51" s="24" t="n">
        <x:v>5</x:v>
      </x:c>
      <x:c r="C51" s="24" t="str">
        <x:v>用于后台妖怪矩阵和专题写作分组。</x:v>
      </x:c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</x:row>
    <x:row r="52">
      <x:c r="A52" s="24" t="str">
        <x:v>其他/复合型</x:v>
      </x:c>
      <x:c r="B52" s="24" t="n">
        <x:v>5</x:v>
      </x:c>
      <x:c r="C52" s="24" t="str">
        <x:v>用于后台妖怪矩阵和专题写作分组。</x:v>
      </x:c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</x:row>
    <x:row r="53">
      <x:c r="A53" s="24" t="str">
        <x:v>天庭/道教后台</x:v>
      </x:c>
      <x:c r="B53" s="24" t="n">
        <x:v>4</x:v>
      </x:c>
      <x:c r="C53" s="24" t="str">
        <x:v>用于后台妖怪矩阵和专题写作分组。</x:v>
      </x:c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</x:row>
    <x:row r="54">
      <x:c r="A54" s="24" t="str">
        <x:v>非后台高风险</x:v>
      </x:c>
      <x:c r="B54" s="24" t="n">
        <x:v>1</x:v>
      </x:c>
      <x:c r="C54" s="24" t="str">
        <x:v>用于后台妖怪矩阵和专题写作分组。</x:v>
      </x:c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</x:row>
  </x:sheetData>
  <x:mergeCells>
    <x:mergeCell ref="A1:M1"/>
  </x:mergeCells>
  <x:conditionalFormatting sqref="F5:F43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08cecdfe36f34c90"/>
    <x:tablePart xmlns:r="http://schemas.openxmlformats.org/officeDocument/2006/relationships" r:id="Re5e7ded08db9430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10" hidden="0" customWidth="1"/>
    <x:col min="13" max="13" width="18" hidden="0" customWidth="1"/>
    <x:col min="14" max="14" width="10" hidden="0" customWidth="1"/>
    <x:col min="15" max="15" width="10" hidden="0" customWidth="1"/>
  </x:cols>
  <x:sheetData>
    <x:row r="1" ht="28" customHeight="1">
      <x:c r="A1" s="153" t="str">
        <x:v>《再读西游》V2.3 八十一难主题热力图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</x:row>
    <x:row r="2" ht="34" customHeight="1">
      <x:c r="A2" s="142" t="str">
        <x:v>说明：按第99回正式八十一难校核表，将难次归入8个叙事阶段和8个主题大类，用于观察全书风险与修行主题分布。</x:v>
      </x:c>
      <x:c r="B2" s="142"/>
      <x:c r="C2" s="142"/>
      <x:c r="D2" s="142"/>
      <x:c r="E2" s="142"/>
      <x:c r="F2" s="142"/>
      <x:c r="G2" s="142"/>
      <x:c r="H2" s="142"/>
      <x:c r="I2" s="142"/>
      <x:c r="J2" s="142"/>
      <x:c r="K2" s="142"/>
      <x:c r="L2" s="24"/>
      <x:c r="M2" s="24"/>
      <x:c r="N2" s="24"/>
      <x:c r="O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52" t="str">
        <x:v>阶段</x:v>
      </x:c>
      <x:c r="B4" s="152" t="str">
        <x:v>阶段说明</x:v>
      </x:c>
      <x:c r="C4" s="152" t="str">
        <x:v>心性/因果/成果</x:v>
      </x:c>
      <x:c r="D4" s="152" t="str">
        <x:v>团队/协同/信任</x:v>
      </x:c>
      <x:c r="E4" s="152" t="str">
        <x:v>后台/法宝/收束</x:v>
      </x:c>
      <x:c r="F4" s="152" t="str">
        <x:v>制度/王权/合法性</x:v>
      </x:c>
      <x:c r="G4" s="152" t="str">
        <x:v>欲望/身体/身份</x:v>
      </x:c>
      <x:c r="H4" s="152" t="str">
        <x:v>环境/民生/资源</x:v>
      </x:c>
      <x:c r="I4" s="152" t="str">
        <x:v>妖怪/战斗风险</x:v>
      </x:c>
      <x:c r="J4" s="152" t="str">
        <x:v>其他</x:v>
      </x:c>
      <x:c r="K4" s="152" t="str">
        <x:v>合计</x:v>
      </x:c>
      <x:c r="L4" s="24"/>
      <x:c r="M4" s="147" t="str">
        <x:v>主题大类汇总</x:v>
      </x:c>
      <x:c r="N4" s="147"/>
      <x:c r="O4" s="147"/>
    </x:row>
    <x:row r="5">
      <x:c r="A5" s="24" t="str">
        <x:v>前史—14回</x:v>
      </x:c>
      <x:c r="B5" s="24" t="str">
        <x:v>取经因缘与团队启动</x:v>
      </x:c>
      <x:c r="C5" s="24" t="n">
        <x:v>1</x:v>
      </x:c>
      <x:c r="D5" s="24" t="n">
        <x:v>2</x:v>
      </x:c>
      <x:c r="E5" s="24" t="n">
        <x:v>0</x:v>
      </x:c>
      <x:c r="F5" s="24" t="n">
        <x:v>1</x:v>
      </x:c>
      <x:c r="G5" s="24" t="n">
        <x:v>0</x:v>
      </x:c>
      <x:c r="H5" s="24" t="n">
        <x:v>2</x:v>
      </x:c>
      <x:c r="I5" s="24" t="n">
        <x:v>1</x:v>
      </x:c>
      <x:c r="J5" s="24" t="n">
        <x:v>1</x:v>
      </x:c>
      <x:c r="K5" s="24" t="n">
        <x:v>8</x:v>
      </x:c>
      <x:c r="L5" s="24"/>
      <x:c r="M5" s="152" t="str">
        <x:v>主题大类</x:v>
      </x:c>
      <x:c r="N5" s="152" t="str">
        <x:v>难数</x:v>
      </x:c>
      <x:c r="O5" s="152" t="str">
        <x:v>占比</x:v>
      </x:c>
    </x:row>
    <x:row r="6">
      <x:c r="A6" s="24" t="str">
        <x:v>15—22回</x:v>
      </x:c>
      <x:c r="B6" s="24" t="str">
        <x:v>团队成型</x:v>
      </x:c>
      <x:c r="C6" s="24" t="n">
        <x:v>0</x:v>
      </x:c>
      <x:c r="D6" s="24" t="n">
        <x:v>3</x:v>
      </x:c>
      <x:c r="E6" s="24" t="n">
        <x:v>1</x:v>
      </x:c>
      <x:c r="F6" s="24" t="n">
        <x:v>0</x:v>
      </x:c>
      <x:c r="G6" s="24" t="n">
        <x:v>0</x:v>
      </x:c>
      <x:c r="H6" s="24" t="n">
        <x:v>4</x:v>
      </x:c>
      <x:c r="I6" s="24" t="n">
        <x:v>0</x:v>
      </x:c>
      <x:c r="J6" s="24" t="n">
        <x:v>0</x:v>
      </x:c>
      <x:c r="K6" s="24" t="n">
        <x:v>8</x:v>
      </x:c>
      <x:c r="L6" s="24"/>
      <x:c r="M6" s="24" t="str">
        <x:v>后台/法宝/收束</x:v>
      </x:c>
      <x:c r="N6" s="24" t="n">
        <x:v>19</x:v>
      </x:c>
      <x:c r="O6" s="155" t="n">
        <x:v>0.2345679012345679</x:v>
      </x:c>
    </x:row>
    <x:row r="7">
      <x:c r="A7" s="24" t="str">
        <x:v>23—31回</x:v>
      </x:c>
      <x:c r="B7" s="24" t="str">
        <x:v>信任危机与再磨合</x:v>
      </x:c>
      <x:c r="C7" s="24" t="n">
        <x:v>0</x:v>
      </x:c>
      <x:c r="D7" s="24" t="n">
        <x:v>3</x:v>
      </x:c>
      <x:c r="E7" s="24" t="n">
        <x:v>0</x:v>
      </x:c>
      <x:c r="F7" s="24" t="n">
        <x:v>1</x:v>
      </x:c>
      <x:c r="G7" s="24" t="n">
        <x:v>1</x:v>
      </x:c>
      <x:c r="H7" s="24" t="n">
        <x:v>0</x:v>
      </x:c>
      <x:c r="I7" s="24" t="n">
        <x:v>0</x:v>
      </x:c>
      <x:c r="J7" s="24" t="n">
        <x:v>2</x:v>
      </x:c>
      <x:c r="K7" s="24" t="n">
        <x:v>7</x:v>
      </x:c>
      <x:c r="L7" s="24"/>
      <x:c r="M7" s="24" t="str">
        <x:v>环境/民生/资源</x:v>
      </x:c>
      <x:c r="N7" s="24" t="n">
        <x:v>16</x:v>
      </x:c>
      <x:c r="O7" s="155" t="n">
        <x:v>0.19753086419753085</x:v>
      </x:c>
    </x:row>
    <x:row r="8">
      <x:c r="A8" s="24" t="str">
        <x:v>32—52回</x:v>
      </x:c>
      <x:c r="B8" s="24" t="str">
        <x:v>后台法宝密集段</x:v>
      </x:c>
      <x:c r="C8" s="24" t="n">
        <x:v>0</x:v>
      </x:c>
      <x:c r="D8" s="24" t="n">
        <x:v>0</x:v>
      </x:c>
      <x:c r="E8" s="24" t="n">
        <x:v>9</x:v>
      </x:c>
      <x:c r="F8" s="24" t="n">
        <x:v>4</x:v>
      </x:c>
      <x:c r="G8" s="24" t="n">
        <x:v>1</x:v>
      </x:c>
      <x:c r="H8" s="24" t="n">
        <x:v>2</x:v>
      </x:c>
      <x:c r="I8" s="24" t="n">
        <x:v>1</x:v>
      </x:c>
      <x:c r="J8" s="24" t="n">
        <x:v>1</x:v>
      </x:c>
      <x:c r="K8" s="24" t="n">
        <x:v>18</x:v>
      </x:c>
      <x:c r="L8" s="24"/>
      <x:c r="M8" s="24" t="str">
        <x:v>制度/王权/合法性</x:v>
      </x:c>
      <x:c r="N8" s="24" t="n">
        <x:v>11</x:v>
      </x:c>
      <x:c r="O8" s="155" t="n">
        <x:v>0.13580246913580246</x:v>
      </x:c>
    </x:row>
    <x:row r="9">
      <x:c r="A9" s="24" t="str">
        <x:v>53—61回</x:v>
      </x:c>
      <x:c r="B9" s="24" t="str">
        <x:v>欲望二心与家族链</x:v>
      </x:c>
      <x:c r="C9" s="24" t="n">
        <x:v>0</x:v>
      </x:c>
      <x:c r="D9" s="24" t="n">
        <x:v>1</x:v>
      </x:c>
      <x:c r="E9" s="24" t="n">
        <x:v>1</x:v>
      </x:c>
      <x:c r="F9" s="24" t="n">
        <x:v>0</x:v>
      </x:c>
      <x:c r="G9" s="24" t="n">
        <x:v>4</x:v>
      </x:c>
      <x:c r="H9" s="24" t="n">
        <x:v>2</x:v>
      </x:c>
      <x:c r="I9" s="24" t="n">
        <x:v>0</x:v>
      </x:c>
      <x:c r="J9" s="24" t="n">
        <x:v>0</x:v>
      </x:c>
      <x:c r="K9" s="24" t="n">
        <x:v>8</x:v>
      </x:c>
      <x:c r="L9" s="24"/>
      <x:c r="M9" s="24" t="str">
        <x:v>欲望/身体/身份</x:v>
      </x:c>
      <x:c r="N9" s="24" t="n">
        <x:v>11</x:v>
      </x:c>
      <x:c r="O9" s="155" t="n">
        <x:v>0.13580246913580246</x:v>
      </x:c>
    </x:row>
    <x:row r="10">
      <x:c r="A10" s="24" t="str">
        <x:v>62—77回</x:v>
      </x:c>
      <x:c r="B10" s="24" t="str">
        <x:v>假权威与极端集团</x:v>
      </x:c>
      <x:c r="C10" s="24" t="n">
        <x:v>0</x:v>
      </x:c>
      <x:c r="D10" s="24" t="n">
        <x:v>1</x:v>
      </x:c>
      <x:c r="E10" s="24" t="n">
        <x:v>4</x:v>
      </x:c>
      <x:c r="F10" s="24" t="n">
        <x:v>2</x:v>
      </x:c>
      <x:c r="G10" s="24" t="n">
        <x:v>2</x:v>
      </x:c>
      <x:c r="H10" s="24" t="n">
        <x:v>2</x:v>
      </x:c>
      <x:c r="I10" s="24" t="n">
        <x:v>2</x:v>
      </x:c>
      <x:c r="J10" s="24" t="n">
        <x:v>2</x:v>
      </x:c>
      <x:c r="K10" s="24" t="n">
        <x:v>15</x:v>
      </x:c>
      <x:c r="L10" s="24"/>
      <x:c r="M10" s="24" t="str">
        <x:v>团队/协同/信任</x:v>
      </x:c>
      <x:c r="N10" s="24" t="n">
        <x:v>10</x:v>
      </x:c>
      <x:c r="O10" s="155" t="n">
        <x:v>0.12345679012345678</x:v>
      </x:c>
    </x:row>
    <x:row r="11">
      <x:c r="A11" s="24" t="str">
        <x:v>78—90回</x:v>
      </x:c>
      <x:c r="B11" s="24" t="str">
        <x:v>末段制度治理与传承</x:v>
      </x:c>
      <x:c r="C11" s="24" t="n">
        <x:v>0</x:v>
      </x:c>
      <x:c r="D11" s="24" t="n">
        <x:v>0</x:v>
      </x:c>
      <x:c r="E11" s="24" t="n">
        <x:v>3</x:v>
      </x:c>
      <x:c r="F11" s="24" t="n">
        <x:v>1</x:v>
      </x:c>
      <x:c r="G11" s="24" t="n">
        <x:v>1</x:v>
      </x:c>
      <x:c r="H11" s="24" t="n">
        <x:v>4</x:v>
      </x:c>
      <x:c r="I11" s="24" t="n">
        <x:v>1</x:v>
      </x:c>
      <x:c r="J11" s="24" t="n">
        <x:v>1</x:v>
      </x:c>
      <x:c r="K11" s="24" t="n">
        <x:v>11</x:v>
      </x:c>
      <x:c r="L11" s="24"/>
      <x:c r="M11" s="24" t="str">
        <x:v>其他</x:v>
      </x:c>
      <x:c r="N11" s="24" t="n">
        <x:v>7</x:v>
      </x:c>
      <x:c r="O11" s="155" t="n">
        <x:v>0.08641975308641975</x:v>
      </x:c>
    </x:row>
    <x:row r="12">
      <x:c r="A12" s="24" t="str">
        <x:v>91—100回</x:v>
      </x:c>
      <x:c r="B12" s="24" t="str">
        <x:v>临近灵山与收官</x:v>
      </x:c>
      <x:c r="C12" s="24" t="n">
        <x:v>1</x:v>
      </x:c>
      <x:c r="D12" s="24" t="n">
        <x:v>0</x:v>
      </x:c>
      <x:c r="E12" s="24" t="n">
        <x:v>1</x:v>
      </x:c>
      <x:c r="F12" s="24" t="n">
        <x:v>2</x:v>
      </x:c>
      <x:c r="G12" s="24" t="n">
        <x:v>2</x:v>
      </x:c>
      <x:c r="H12" s="24" t="n">
        <x:v>0</x:v>
      </x:c>
      <x:c r="I12" s="24" t="n">
        <x:v>0</x:v>
      </x:c>
      <x:c r="J12" s="24" t="n">
        <x:v>0</x:v>
      </x:c>
      <x:c r="K12" s="24" t="n">
        <x:v>6</x:v>
      </x:c>
      <x:c r="L12" s="24"/>
      <x:c r="M12" s="24" t="str">
        <x:v>妖怪/战斗风险</x:v>
      </x:c>
      <x:c r="N12" s="24" t="n">
        <x:v>5</x:v>
      </x:c>
      <x:c r="O12" s="155" t="n">
        <x:v>0.06172839506172839</x:v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 t="str">
        <x:v>心性/因果/成果</x:v>
      </x:c>
      <x:c r="N13" s="24" t="n">
        <x:v>2</x:v>
      </x:c>
      <x:c r="O13" s="155" t="n">
        <x:v>0.024691358024691357</x:v>
      </x:c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</x:row>
    <x:row r="16">
      <x:c r="A16" s="147" t="str">
        <x:v>明细：每一难的阶段与主题分类</x:v>
      </x:c>
      <x:c r="B16" s="147"/>
      <x:c r="C16" s="147"/>
      <x:c r="D16" s="147"/>
      <x:c r="E16" s="147"/>
      <x:c r="F16" s="147"/>
      <x:c r="G16" s="147"/>
      <x:c r="H16" s="147"/>
      <x:c r="I16" s="147"/>
      <x:c r="J16" s="24"/>
      <x:c r="K16" s="24"/>
      <x:c r="L16" s="24"/>
      <x:c r="M16" s="24"/>
      <x:c r="N16" s="24"/>
      <x:c r="O16" s="24"/>
    </x:row>
    <x:row r="17">
      <x:c r="A17" s="152" t="str">
        <x:v>难次</x:v>
      </x:c>
      <x:c r="B17" s="152" t="str">
        <x:v>第99回难名</x:v>
      </x:c>
      <x:c r="C17" s="152" t="str">
        <x:v>关联回目</x:v>
      </x:c>
      <x:c r="D17" s="152" t="str">
        <x:v>阶段</x:v>
      </x:c>
      <x:c r="E17" s="152" t="str">
        <x:v>主题大类</x:v>
      </x:c>
      <x:c r="F17" s="152" t="str">
        <x:v>原主题分类</x:v>
      </x:c>
      <x:c r="G17" s="152" t="str">
        <x:v>风险类型</x:v>
      </x:c>
      <x:c r="H17" s="152" t="str">
        <x:v>主要人物/对象</x:v>
      </x:c>
      <x:c r="I17" s="152" t="str">
        <x:v>证据状态</x:v>
      </x:c>
      <x:c r="J17" s="24"/>
      <x:c r="K17" s="24"/>
      <x:c r="L17" s="24"/>
      <x:c r="M17" s="24"/>
      <x:c r="N17" s="24"/>
      <x:c r="O17" s="24"/>
    </x:row>
    <x:row r="18">
      <x:c r="A18" s="24" t="n">
        <x:v>1</x:v>
      </x:c>
      <x:c r="B18" s="24" t="str">
        <x:v>金蟬遭貶</x:v>
      </x:c>
      <x:c r="C18" s="24" t="str">
        <x:v>前史/第1—8回铺垫</x:v>
      </x:c>
      <x:c r="D18" s="24" t="str">
        <x:v>前史—14回</x:v>
      </x:c>
      <x:c r="E18" s="24" t="str">
        <x:v>心性/因果/成果</x:v>
      </x:c>
      <x:c r="F18" s="24" t="str">
        <x:v>因果起点</x:v>
      </x:c>
      <x:c r="G18" s="24" t="str">
        <x:v>前世业缘</x:v>
      </x:c>
      <x:c r="H18" s="24" t="str">
        <x:v>金蝉子、如来、唐僧</x:v>
      </x:c>
      <x:c r="I18" s="24" t="str">
        <x:v>原文第99回明列</x:v>
      </x:c>
      <x:c r="J18" s="24"/>
      <x:c r="K18" s="24"/>
      <x:c r="L18" s="24"/>
      <x:c r="M18" s="24"/>
      <x:c r="N18" s="24"/>
      <x:c r="O18" s="24"/>
    </x:row>
    <x:row r="19">
      <x:c r="A19" s="24" t="n">
        <x:v>2</x:v>
      </x:c>
      <x:c r="B19" s="24" t="str">
        <x:v>出胎幾殺</x:v>
      </x:c>
      <x:c r="C19" s="24" t="str">
        <x:v>第9回</x:v>
      </x:c>
      <x:c r="D19" s="24" t="str">
        <x:v>前史—14回</x:v>
      </x:c>
      <x:c r="E19" s="24" t="str">
        <x:v>环境/民生/资源</x:v>
      </x:c>
      <x:c r="F19" s="24" t="str">
        <x:v>生命风险</x:v>
      </x:c>
      <x:c r="G19" s="24" t="str">
        <x:v>出生危机</x:v>
      </x:c>
      <x:c r="H19" s="24" t="str">
        <x:v>江流儿、殷温娇、刘洪</x:v>
      </x:c>
      <x:c r="I19" s="24" t="str">
        <x:v>原文第99回明列</x:v>
      </x:c>
      <x:c r="J19" s="24"/>
      <x:c r="K19" s="24"/>
      <x:c r="L19" s="24"/>
      <x:c r="M19" s="24"/>
      <x:c r="N19" s="24"/>
      <x:c r="O19" s="24"/>
    </x:row>
    <x:row r="20">
      <x:c r="A20" s="24" t="n">
        <x:v>3</x:v>
      </x:c>
      <x:c r="B20" s="24" t="str">
        <x:v>滿月拋江</x:v>
      </x:c>
      <x:c r="C20" s="24" t="str">
        <x:v>第9回</x:v>
      </x:c>
      <x:c r="D20" s="24" t="str">
        <x:v>前史—14回</x:v>
      </x:c>
      <x:c r="E20" s="24" t="str">
        <x:v>环境/民生/资源</x:v>
      </x:c>
      <x:c r="F20" s="24" t="str">
        <x:v>生命风险</x:v>
      </x:c>
      <x:c r="G20" s="24" t="str">
        <x:v>弃婴/水难</x:v>
      </x:c>
      <x:c r="H20" s="24" t="str">
        <x:v>江流儿、金山寺长老</x:v>
      </x:c>
      <x:c r="I20" s="24" t="str">
        <x:v>原文第99回明列</x:v>
      </x:c>
      <x:c r="J20" s="24"/>
      <x:c r="K20" s="24"/>
      <x:c r="L20" s="24"/>
      <x:c r="M20" s="24"/>
      <x:c r="N20" s="24"/>
      <x:c r="O20" s="24"/>
    </x:row>
    <x:row r="21">
      <x:c r="A21" s="24" t="n">
        <x:v>4</x:v>
      </x:c>
      <x:c r="B21" s="24" t="str">
        <x:v>尋親報冤</x:v>
      </x:c>
      <x:c r="C21" s="24" t="str">
        <x:v>第11—12回</x:v>
      </x:c>
      <x:c r="D21" s="24" t="str">
        <x:v>前史—14回</x:v>
      </x:c>
      <x:c r="E21" s="24" t="str">
        <x:v>制度/王权/合法性</x:v>
      </x:c>
      <x:c r="F21" s="24" t="str">
        <x:v>冤案昭雪</x:v>
      </x:c>
      <x:c r="G21" s="24" t="str">
        <x:v>身份确认</x:v>
      </x:c>
      <x:c r="H21" s="24" t="str">
        <x:v>唐僧、殷温娇、刘洪、唐太宗</x:v>
      </x:c>
      <x:c r="I21" s="24" t="str">
        <x:v>原文第99回明列</x:v>
      </x:c>
      <x:c r="J21" s="24"/>
      <x:c r="K21" s="24"/>
      <x:c r="L21" s="24"/>
      <x:c r="M21" s="24"/>
      <x:c r="N21" s="24"/>
      <x:c r="O21" s="24"/>
    </x:row>
    <x:row r="22">
      <x:c r="A22" s="24" t="n">
        <x:v>5</x:v>
      </x:c>
      <x:c r="B22" s="24" t="str">
        <x:v>出城逢虎</x:v>
      </x:c>
      <x:c r="C22" s="24" t="str">
        <x:v>第13回</x:v>
      </x:c>
      <x:c r="D22" s="24" t="str">
        <x:v>前史—14回</x:v>
      </x:c>
      <x:c r="E22" s="24" t="str">
        <x:v>其他</x:v>
      </x:c>
      <x:c r="F22" s="24" t="str">
        <x:v>外部风险</x:v>
      </x:c>
      <x:c r="G22" s="24" t="str">
        <x:v>野外猛兽</x:v>
      </x:c>
      <x:c r="H22" s="24" t="str">
        <x:v>唐僧、随从、山兽</x:v>
      </x:c>
      <x:c r="I22" s="24" t="str">
        <x:v>原文第99回明列</x:v>
      </x:c>
      <x:c r="J22" s="24"/>
      <x:c r="K22" s="24"/>
      <x:c r="L22" s="24"/>
      <x:c r="M22" s="24"/>
      <x:c r="N22" s="24"/>
      <x:c r="O22" s="24"/>
    </x:row>
    <x:row r="23">
      <x:c r="A23" s="24" t="n">
        <x:v>6</x:v>
      </x:c>
      <x:c r="B23" s="24" t="str">
        <x:v>折從落坑</x:v>
      </x:c>
      <x:c r="C23" s="24" t="str">
        <x:v>第13回</x:v>
      </x:c>
      <x:c r="D23" s="24" t="str">
        <x:v>前史—14回</x:v>
      </x:c>
      <x:c r="E23" s="24" t="str">
        <x:v>团队/协同/信任</x:v>
      </x:c>
      <x:c r="F23" s="24" t="str">
        <x:v>外部风险</x:v>
      </x:c>
      <x:c r="G23" s="24" t="str">
        <x:v>团队折损</x:v>
      </x:c>
      <x:c r="H23" s="24" t="str">
        <x:v>唐僧、随从</x:v>
      </x:c>
      <x:c r="I23" s="24" t="str">
        <x:v>原文第99回明列</x:v>
      </x:c>
      <x:c r="J23" s="24"/>
      <x:c r="K23" s="24"/>
      <x:c r="L23" s="24"/>
      <x:c r="M23" s="24"/>
      <x:c r="N23" s="24"/>
      <x:c r="O23" s="24"/>
    </x:row>
    <x:row r="24">
      <x:c r="A24" s="24" t="n">
        <x:v>7</x:v>
      </x:c>
      <x:c r="B24" s="24" t="str">
        <x:v>雙叉嶺上</x:v>
      </x:c>
      <x:c r="C24" s="24" t="str">
        <x:v>第13回</x:v>
      </x:c>
      <x:c r="D24" s="24" t="str">
        <x:v>前史—14回</x:v>
      </x:c>
      <x:c r="E24" s="24" t="str">
        <x:v>妖怪/战斗风险</x:v>
      </x:c>
      <x:c r="F24" s="24" t="str">
        <x:v>妖怪风险</x:v>
      </x:c>
      <x:c r="G24" s="24" t="str">
        <x:v>山林妖怪</x:v>
      </x:c>
      <x:c r="H24" s="24" t="str">
        <x:v>寅将军、熊山君、特处士、唐僧</x:v>
      </x:c>
      <x:c r="I24" s="24" t="str">
        <x:v>原文第99回明列</x:v>
      </x:c>
      <x:c r="J24" s="24"/>
      <x:c r="K24" s="24"/>
      <x:c r="L24" s="24"/>
      <x:c r="M24" s="24"/>
      <x:c r="N24" s="24"/>
      <x:c r="O24" s="24"/>
    </x:row>
    <x:row r="25">
      <x:c r="A25" s="24" t="n">
        <x:v>8</x:v>
      </x:c>
      <x:c r="B25" s="24" t="str">
        <x:v>兩界山頭</x:v>
      </x:c>
      <x:c r="C25" s="24" t="str">
        <x:v>第14回</x:v>
      </x:c>
      <x:c r="D25" s="24" t="str">
        <x:v>前史—14回</x:v>
      </x:c>
      <x:c r="E25" s="24" t="str">
        <x:v>团队/协同/信任</x:v>
      </x:c>
      <x:c r="F25" s="24" t="str">
        <x:v>团队形成</x:v>
      </x:c>
      <x:c r="G25" s="24" t="str">
        <x:v>关键成员归队</x:v>
      </x:c>
      <x:c r="H25" s="24" t="str">
        <x:v>孙悟空、唐僧、刘伯钦</x:v>
      </x:c>
      <x:c r="I25" s="24" t="str">
        <x:v>原文第99回明列</x:v>
      </x:c>
      <x:c r="J25" s="24"/>
      <x:c r="K25" s="24"/>
      <x:c r="L25" s="24"/>
      <x:c r="M25" s="24"/>
      <x:c r="N25" s="24"/>
      <x:c r="O25" s="24"/>
    </x:row>
    <x:row r="26">
      <x:c r="A26" s="24" t="n">
        <x:v>9</x:v>
      </x:c>
      <x:c r="B26" s="24" t="str">
        <x:v>陡澗換馬</x:v>
      </x:c>
      <x:c r="C26" s="24" t="str">
        <x:v>第15回</x:v>
      </x:c>
      <x:c r="D26" s="24" t="str">
        <x:v>15—22回</x:v>
      </x:c>
      <x:c r="E26" s="24" t="str">
        <x:v>后台/法宝/收束</x:v>
      </x:c>
      <x:c r="F26" s="24" t="str">
        <x:v>团队形成</x:v>
      </x:c>
      <x:c r="G26" s="24" t="str">
        <x:v>承载系统</x:v>
      </x:c>
      <x:c r="H26" s="24" t="str">
        <x:v>小白龙、唐僧、悟空、观音</x:v>
      </x:c>
      <x:c r="I26" s="24" t="str">
        <x:v>原文第99回明列</x:v>
      </x:c>
      <x:c r="J26" s="24"/>
      <x:c r="K26" s="24"/>
      <x:c r="L26" s="24"/>
      <x:c r="M26" s="24"/>
      <x:c r="N26" s="24"/>
      <x:c r="O26" s="24"/>
    </x:row>
    <x:row r="27">
      <x:c r="A27" s="24" t="n">
        <x:v>10</x:v>
      </x:c>
      <x:c r="B27" s="24" t="str">
        <x:v>夜被火燒</x:v>
      </x:c>
      <x:c r="C27" s="24" t="str">
        <x:v>第16回</x:v>
      </x:c>
      <x:c r="D27" s="24" t="str">
        <x:v>15—22回</x:v>
      </x:c>
      <x:c r="E27" s="24" t="str">
        <x:v>环境/民生/资源</x:v>
      </x:c>
      <x:c r="F27" s="24" t="str">
        <x:v>资产/安全风险</x:v>
      </x:c>
      <x:c r="G27" s="24" t="str">
        <x:v>火灾</x:v>
      </x:c>
      <x:c r="H27" s="24" t="str">
        <x:v>金池长老、悟空、唐僧</x:v>
      </x:c>
      <x:c r="I27" s="24" t="str">
        <x:v>原文第99回明列</x:v>
      </x:c>
      <x:c r="J27" s="24"/>
      <x:c r="K27" s="24"/>
      <x:c r="L27" s="24"/>
      <x:c r="M27" s="24"/>
      <x:c r="N27" s="24"/>
      <x:c r="O27" s="24"/>
    </x:row>
    <x:row r="28">
      <x:c r="A28" s="24" t="n">
        <x:v>11</x:v>
      </x:c>
      <x:c r="B28" s="24" t="str">
        <x:v>失卻袈裟</x:v>
      </x:c>
      <x:c r="C28" s="24" t="str">
        <x:v>第16—17回</x:v>
      </x:c>
      <x:c r="D28" s="24" t="str">
        <x:v>15—22回</x:v>
      </x:c>
      <x:c r="E28" s="24" t="str">
        <x:v>环境/民生/资源</x:v>
      </x:c>
      <x:c r="F28" s="24" t="str">
        <x:v>资产风险</x:v>
      </x:c>
      <x:c r="G28" s="24" t="str">
        <x:v>宝物失窃</x:v>
      </x:c>
      <x:c r="H28" s="24" t="str">
        <x:v>黑熊精、金池长老、观音</x:v>
      </x:c>
      <x:c r="I28" s="24" t="str">
        <x:v>原文第99回明列</x:v>
      </x:c>
      <x:c r="J28" s="24"/>
      <x:c r="K28" s="24"/>
      <x:c r="L28" s="24"/>
      <x:c r="M28" s="24"/>
      <x:c r="N28" s="24"/>
      <x:c r="O28" s="24"/>
    </x:row>
    <x:row r="29">
      <x:c r="A29" s="24" t="n">
        <x:v>12</x:v>
      </x:c>
      <x:c r="B29" s="24" t="str">
        <x:v>收降八戒</x:v>
      </x:c>
      <x:c r="C29" s="24" t="str">
        <x:v>第18—19回</x:v>
      </x:c>
      <x:c r="D29" s="24" t="str">
        <x:v>15—22回</x:v>
      </x:c>
      <x:c r="E29" s="24" t="str">
        <x:v>团队/协同/信任</x:v>
      </x:c>
      <x:c r="F29" s="24" t="str">
        <x:v>团队形成</x:v>
      </x:c>
      <x:c r="G29" s="24" t="str">
        <x:v>成员招募/欲望治理</x:v>
      </x:c>
      <x:c r="H29" s="24" t="str">
        <x:v>猪八戒、唐僧、悟空、高太公</x:v>
      </x:c>
      <x:c r="I29" s="24" t="str">
        <x:v>原文第99回明列</x:v>
      </x:c>
      <x:c r="J29" s="24"/>
      <x:c r="K29" s="24"/>
      <x:c r="L29" s="24"/>
      <x:c r="M29" s="24"/>
      <x:c r="N29" s="24"/>
      <x:c r="O29" s="24"/>
    </x:row>
    <x:row r="30">
      <x:c r="A30" s="24" t="n">
        <x:v>13</x:v>
      </x:c>
      <x:c r="B30" s="24" t="str">
        <x:v>黃風怪阻</x:v>
      </x:c>
      <x:c r="C30" s="24" t="str">
        <x:v>第20—21回</x:v>
      </x:c>
      <x:c r="D30" s="24" t="str">
        <x:v>15—22回</x:v>
      </x:c>
      <x:c r="E30" s="24" t="str">
        <x:v>环境/民生/资源</x:v>
      </x:c>
      <x:c r="F30" s="24" t="str">
        <x:v>妖怪风险</x:v>
      </x:c>
      <x:c r="G30" s="24" t="str">
        <x:v>自然/风力攻击</x:v>
      </x:c>
      <x:c r="H30" s="24" t="str">
        <x:v>黄风怪、虎先锋、唐僧、悟空</x:v>
      </x:c>
      <x:c r="I30" s="24" t="str">
        <x:v>原文第99回明列</x:v>
      </x:c>
      <x:c r="J30" s="24"/>
      <x:c r="K30" s="24"/>
      <x:c r="L30" s="24"/>
      <x:c r="M30" s="24"/>
      <x:c r="N30" s="24"/>
      <x:c r="O30" s="24"/>
    </x:row>
    <x:row r="31">
      <x:c r="A31" s="24" t="n">
        <x:v>14</x:v>
      </x:c>
      <x:c r="B31" s="24" t="str">
        <x:v>請求靈吉</x:v>
      </x:c>
      <x:c r="C31" s="24" t="str">
        <x:v>第21回</x:v>
      </x:c>
      <x:c r="D31" s="24" t="str">
        <x:v>15—22回</x:v>
      </x:c>
      <x:c r="E31" s="24" t="str">
        <x:v>团队/协同/信任</x:v>
      </x:c>
      <x:c r="F31" s="24" t="str">
        <x:v>救援协同</x:v>
      </x:c>
      <x:c r="G31" s="24" t="str">
        <x:v>外部专家</x:v>
      </x:c>
      <x:c r="H31" s="24" t="str">
        <x:v>灵吉菩萨、悟空、黄风怪</x:v>
      </x:c>
      <x:c r="I31" s="24" t="str">
        <x:v>原文第99回明列</x:v>
      </x:c>
      <x:c r="J31" s="24"/>
      <x:c r="K31" s="24"/>
      <x:c r="L31" s="24"/>
      <x:c r="M31" s="24"/>
      <x:c r="N31" s="24"/>
      <x:c r="O31" s="24"/>
    </x:row>
    <x:row r="32">
      <x:c r="A32" s="24" t="n">
        <x:v>15</x:v>
      </x:c>
      <x:c r="B32" s="24" t="str">
        <x:v>流沙難渡</x:v>
      </x:c>
      <x:c r="C32" s="24" t="str">
        <x:v>第22回</x:v>
      </x:c>
      <x:c r="D32" s="24" t="str">
        <x:v>15—22回</x:v>
      </x:c>
      <x:c r="E32" s="24" t="str">
        <x:v>环境/民生/资源</x:v>
      </x:c>
      <x:c r="F32" s="24" t="str">
        <x:v>自然/妖怪风险</x:v>
      </x:c>
      <x:c r="G32" s="24" t="str">
        <x:v>水域阻隔</x:v>
      </x:c>
      <x:c r="H32" s="24" t="str">
        <x:v>沙悟净、唐僧师徒</x:v>
      </x:c>
      <x:c r="I32" s="24" t="str">
        <x:v>原文第99回明列</x:v>
      </x:c>
      <x:c r="J32" s="24"/>
      <x:c r="K32" s="24"/>
      <x:c r="L32" s="24"/>
      <x:c r="M32" s="24"/>
      <x:c r="N32" s="24"/>
      <x:c r="O32" s="24"/>
    </x:row>
    <x:row r="33">
      <x:c r="A33" s="24" t="n">
        <x:v>16</x:v>
      </x:c>
      <x:c r="B33" s="24" t="str">
        <x:v>收得沙僧</x:v>
      </x:c>
      <x:c r="C33" s="24" t="str">
        <x:v>第22回</x:v>
      </x:c>
      <x:c r="D33" s="24" t="str">
        <x:v>15—22回</x:v>
      </x:c>
      <x:c r="E33" s="24" t="str">
        <x:v>团队/协同/信任</x:v>
      </x:c>
      <x:c r="F33" s="24" t="str">
        <x:v>团队形成</x:v>
      </x:c>
      <x:c r="G33" s="24" t="str">
        <x:v>稳定执行者入队</x:v>
      </x:c>
      <x:c r="H33" s="24" t="str">
        <x:v>沙悟净、木叉、观音、唐僧</x:v>
      </x:c>
      <x:c r="I33" s="24" t="str">
        <x:v>原文第99回明列</x:v>
      </x:c>
      <x:c r="J33" s="24"/>
      <x:c r="K33" s="24"/>
      <x:c r="L33" s="24"/>
      <x:c r="M33" s="24"/>
      <x:c r="N33" s="24"/>
      <x:c r="O33" s="24"/>
    </x:row>
    <x:row r="34">
      <x:c r="A34" s="24" t="n">
        <x:v>17</x:v>
      </x:c>
      <x:c r="B34" s="24" t="str">
        <x:v>四聖顯化</x:v>
      </x:c>
      <x:c r="C34" s="24" t="str">
        <x:v>第23回</x:v>
      </x:c>
      <x:c r="D34" s="24" t="str">
        <x:v>23—31回</x:v>
      </x:c>
      <x:c r="E34" s="24" t="str">
        <x:v>欲望/身体/身份</x:v>
      </x:c>
      <x:c r="F34" s="24" t="str">
        <x:v>价值观测试</x:v>
      </x:c>
      <x:c r="G34" s="24" t="str">
        <x:v>欲望/婚姻诱惑</x:v>
      </x:c>
      <x:c r="H34" s="24" t="str">
        <x:v>黎山老母、观音、文殊、普贤、八戒</x:v>
      </x:c>
      <x:c r="I34" s="24" t="str">
        <x:v>原文第99回明列</x:v>
      </x:c>
      <x:c r="J34" s="24"/>
      <x:c r="K34" s="24"/>
      <x:c r="L34" s="24"/>
      <x:c r="M34" s="24"/>
      <x:c r="N34" s="24"/>
      <x:c r="O34" s="24"/>
    </x:row>
    <x:row r="35">
      <x:c r="A35" s="24" t="n">
        <x:v>18</x:v>
      </x:c>
      <x:c r="B35" s="24" t="str">
        <x:v>五莊觀中</x:v>
      </x:c>
      <x:c r="C35" s="24" t="str">
        <x:v>第24—25回</x:v>
      </x:c>
      <x:c r="D35" s="24" t="str">
        <x:v>23—31回</x:v>
      </x:c>
      <x:c r="E35" s="24" t="str">
        <x:v>其他</x:v>
      </x:c>
      <x:c r="F35" s="24" t="str">
        <x:v>关系风险</x:v>
      </x:c>
      <x:c r="G35" s="24" t="str">
        <x:v>冲突/失礼</x:v>
      </x:c>
      <x:c r="H35" s="24" t="str">
        <x:v>镇元大仙、清风明月、悟空</x:v>
      </x:c>
      <x:c r="I35" s="24" t="str">
        <x:v>原文第99回明列</x:v>
      </x:c>
      <x:c r="J35" s="24"/>
      <x:c r="K35" s="24"/>
      <x:c r="L35" s="24"/>
      <x:c r="M35" s="24"/>
      <x:c r="N35" s="24"/>
      <x:c r="O35" s="24"/>
    </x:row>
    <x:row r="36">
      <x:c r="A36" s="24" t="n">
        <x:v>19</x:v>
      </x:c>
      <x:c r="B36" s="24" t="str">
        <x:v>難活人參</x:v>
      </x:c>
      <x:c r="C36" s="24" t="str">
        <x:v>第25—26回</x:v>
      </x:c>
      <x:c r="D36" s="24" t="str">
        <x:v>23—31回</x:v>
      </x:c>
      <x:c r="E36" s="24" t="str">
        <x:v>其他</x:v>
      </x:c>
      <x:c r="F36" s="24" t="str">
        <x:v>补救修复</x:v>
      </x:c>
      <x:c r="G36" s="24" t="str">
        <x:v>损害修复</x:v>
      </x:c>
      <x:c r="H36" s="24" t="str">
        <x:v>观音、镇元大仙、悟空</x:v>
      </x:c>
      <x:c r="I36" s="24" t="str">
        <x:v>原文第99回明列</x:v>
      </x:c>
      <x:c r="J36" s="24"/>
      <x:c r="K36" s="24"/>
      <x:c r="L36" s="24"/>
      <x:c r="M36" s="24"/>
      <x:c r="N36" s="24"/>
      <x:c r="O36" s="24"/>
    </x:row>
    <x:row r="37">
      <x:c r="A37" s="24" t="n">
        <x:v>20</x:v>
      </x:c>
      <x:c r="B37" s="24" t="str">
        <x:v>貶退心猿</x:v>
      </x:c>
      <x:c r="C37" s="24" t="str">
        <x:v>第27回</x:v>
      </x:c>
      <x:c r="D37" s="24" t="str">
        <x:v>23—31回</x:v>
      </x:c>
      <x:c r="E37" s="24" t="str">
        <x:v>团队/协同/信任</x:v>
      </x:c>
      <x:c r="F37" s="24" t="str">
        <x:v>团队信任风险</x:v>
      </x:c>
      <x:c r="G37" s="24" t="str">
        <x:v>误判/内部噪声</x:v>
      </x:c>
      <x:c r="H37" s="24" t="str">
        <x:v>唐僧、悟空、八戒、白骨精</x:v>
      </x:c>
      <x:c r="I37" s="24" t="str">
        <x:v>原文第99回明列</x:v>
      </x:c>
      <x:c r="J37" s="24"/>
      <x:c r="K37" s="24"/>
      <x:c r="L37" s="24"/>
      <x:c r="M37" s="24"/>
      <x:c r="N37" s="24"/>
      <x:c r="O37" s="24"/>
    </x:row>
    <x:row r="38">
      <x:c r="A38" s="24" t="n">
        <x:v>21</x:v>
      </x:c>
      <x:c r="B38" s="24" t="str">
        <x:v>黑松林失散</x:v>
      </x:c>
      <x:c r="C38" s="24" t="str">
        <x:v>第28回</x:v>
      </x:c>
      <x:c r="D38" s="24" t="str">
        <x:v>23—31回</x:v>
      </x:c>
      <x:c r="E38" s="24" t="str">
        <x:v>团队/协同/信任</x:v>
      </x:c>
      <x:c r="F38" s="24" t="str">
        <x:v>团队失能</x:v>
      </x:c>
      <x:c r="G38" s="24" t="str">
        <x:v>核心成员离队</x:v>
      </x:c>
      <x:c r="H38" s="24" t="str">
        <x:v>唐僧、八戒、沙僧</x:v>
      </x:c>
      <x:c r="I38" s="24" t="str">
        <x:v>原文第99回明列</x:v>
      </x:c>
      <x:c r="J38" s="24"/>
      <x:c r="K38" s="24"/>
      <x:c r="L38" s="24"/>
      <x:c r="M38" s="24"/>
      <x:c r="N38" s="24"/>
      <x:c r="O38" s="24"/>
    </x:row>
    <x:row r="39">
      <x:c r="A39" s="24" t="n">
        <x:v>22</x:v>
      </x:c>
      <x:c r="B39" s="24" t="str">
        <x:v>寶象國捎書</x:v>
      </x:c>
      <x:c r="C39" s="24" t="str">
        <x:v>第29—30回</x:v>
      </x:c>
      <x:c r="D39" s="24" t="str">
        <x:v>23—31回</x:v>
      </x:c>
      <x:c r="E39" s="24" t="str">
        <x:v>团队/协同/信任</x:v>
      </x:c>
      <x:c r="F39" s="24" t="str">
        <x:v>救援协同</x:v>
      </x:c>
      <x:c r="G39" s="24" t="str">
        <x:v>信息传递</x:v>
      </x:c>
      <x:c r="H39" s="24" t="str">
        <x:v>百花羞、唐僧、宝象国王</x:v>
      </x:c>
      <x:c r="I39" s="24" t="str">
        <x:v>原文第99回明列</x:v>
      </x:c>
      <x:c r="J39" s="24"/>
      <x:c r="K39" s="24"/>
      <x:c r="L39" s="24"/>
      <x:c r="M39" s="24"/>
      <x:c r="N39" s="24"/>
      <x:c r="O39" s="24"/>
    </x:row>
    <x:row r="40">
      <x:c r="A40" s="24" t="n">
        <x:v>23</x:v>
      </x:c>
      <x:c r="B40" s="24" t="str">
        <x:v>金鑾殿變虎</x:v>
      </x:c>
      <x:c r="C40" s="24" t="str">
        <x:v>第30回</x:v>
      </x:c>
      <x:c r="D40" s="24" t="str">
        <x:v>23—31回</x:v>
      </x:c>
      <x:c r="E40" s="24" t="str">
        <x:v>制度/王权/合法性</x:v>
      </x:c>
      <x:c r="F40" s="24" t="str">
        <x:v>身份/合法性风险</x:v>
      </x:c>
      <x:c r="G40" s="24" t="str">
        <x:v>变形冒名</x:v>
      </x:c>
      <x:c r="H40" s="24" t="str">
        <x:v>黄袍怪、唐僧、宝象国王</x:v>
      </x:c>
      <x:c r="I40" s="24" t="str">
        <x:v>原文第99回明列</x:v>
      </x:c>
      <x:c r="J40" s="24"/>
      <x:c r="K40" s="24"/>
      <x:c r="L40" s="24"/>
      <x:c r="M40" s="24"/>
      <x:c r="N40" s="24"/>
      <x:c r="O40" s="24"/>
    </x:row>
    <x:row r="41">
      <x:c r="A41" s="24" t="n">
        <x:v>24</x:v>
      </x:c>
      <x:c r="B41" s="24" t="str">
        <x:v>平頂山逢魔</x:v>
      </x:c>
      <x:c r="C41" s="24" t="str">
        <x:v>第32—35回</x:v>
      </x:c>
      <x:c r="D41" s="24" t="str">
        <x:v>32—52回</x:v>
      </x:c>
      <x:c r="E41" s="24" t="str">
        <x:v>后台/法宝/收束</x:v>
      </x:c>
      <x:c r="F41" s="24" t="str">
        <x:v>后台妖怪风险</x:v>
      </x:c>
      <x:c r="G41" s="24" t="str">
        <x:v>太上老君系统外溢</x:v>
      </x:c>
      <x:c r="H41" s="24" t="str">
        <x:v>金角、银角、悟空</x:v>
      </x:c>
      <x:c r="I41" s="24" t="str">
        <x:v>原文第99回明列</x:v>
      </x:c>
      <x:c r="J41" s="24"/>
      <x:c r="K41" s="24"/>
      <x:c r="L41" s="24"/>
      <x:c r="M41" s="24"/>
      <x:c r="N41" s="24"/>
      <x:c r="O41" s="24"/>
    </x:row>
    <x:row r="42">
      <x:c r="A42" s="24" t="n">
        <x:v>25</x:v>
      </x:c>
      <x:c r="B42" s="24" t="str">
        <x:v>蓮花洞高懸</x:v>
      </x:c>
      <x:c r="C42" s="24" t="str">
        <x:v>第33—35回</x:v>
      </x:c>
      <x:c r="D42" s="24" t="str">
        <x:v>32—52回</x:v>
      </x:c>
      <x:c r="E42" s="24" t="str">
        <x:v>后台/法宝/收束</x:v>
      </x:c>
      <x:c r="F42" s="24" t="str">
        <x:v>法宝/控制风险</x:v>
      </x:c>
      <x:c r="G42" s="24" t="str">
        <x:v>拘禁/高悬</x:v>
      </x:c>
      <x:c r="H42" s="24" t="str">
        <x:v>金角、银角、唐僧师徒</x:v>
      </x:c>
      <x:c r="I42" s="24" t="str">
        <x:v>原文第99回明列</x:v>
      </x:c>
      <x:c r="J42" s="24"/>
      <x:c r="K42" s="24"/>
      <x:c r="L42" s="24"/>
      <x:c r="M42" s="24"/>
      <x:c r="N42" s="24"/>
      <x:c r="O42" s="24"/>
    </x:row>
    <x:row r="43">
      <x:c r="A43" s="24" t="n">
        <x:v>26</x:v>
      </x:c>
      <x:c r="B43" s="24" t="str">
        <x:v>烏雞國救主</x:v>
      </x:c>
      <x:c r="C43" s="24" t="str">
        <x:v>第36—39回</x:v>
      </x:c>
      <x:c r="D43" s="24" t="str">
        <x:v>32—52回</x:v>
      </x:c>
      <x:c r="E43" s="24" t="str">
        <x:v>制度/王权/合法性</x:v>
      </x:c>
      <x:c r="F43" s="24" t="str">
        <x:v>政治合法性</x:v>
      </x:c>
      <x:c r="G43" s="24" t="str">
        <x:v>冤案昭雪</x:v>
      </x:c>
      <x:c r="H43" s="24" t="str">
        <x:v>乌鸡国王、太子、井龙王、悟空</x:v>
      </x:c>
      <x:c r="I43" s="24" t="str">
        <x:v>原文第99回明列</x:v>
      </x:c>
      <x:c r="J43" s="24"/>
      <x:c r="K43" s="24"/>
      <x:c r="L43" s="24"/>
      <x:c r="M43" s="24"/>
      <x:c r="N43" s="24"/>
      <x:c r="O43" s="24"/>
    </x:row>
    <x:row r="44">
      <x:c r="A44" s="24" t="n">
        <x:v>27</x:v>
      </x:c>
      <x:c r="B44" s="24" t="str">
        <x:v>被魔化身</x:v>
      </x:c>
      <x:c r="C44" s="24" t="str">
        <x:v>第39回</x:v>
      </x:c>
      <x:c r="D44" s="24" t="str">
        <x:v>32—52回</x:v>
      </x:c>
      <x:c r="E44" s="24" t="str">
        <x:v>欲望/身体/身份</x:v>
      </x:c>
      <x:c r="F44" s="24" t="str">
        <x:v>身份风险</x:v>
      </x:c>
      <x:c r="G44" s="24" t="str">
        <x:v>冒名顶替</x:v>
      </x:c>
      <x:c r="H44" s="24" t="str">
        <x:v>青毛狮子、文殊、乌鸡国王</x:v>
      </x:c>
      <x:c r="I44" s="24" t="str">
        <x:v>原文第99回明列</x:v>
      </x:c>
      <x:c r="J44" s="24"/>
      <x:c r="K44" s="24"/>
      <x:c r="L44" s="24"/>
      <x:c r="M44" s="24"/>
      <x:c r="N44" s="24"/>
      <x:c r="O44" s="24"/>
    </x:row>
    <x:row r="45">
      <x:c r="A45" s="24" t="n">
        <x:v>28</x:v>
      </x:c>
      <x:c r="B45" s="24" t="str">
        <x:v>號山逢怪</x:v>
      </x:c>
      <x:c r="C45" s="24" t="str">
        <x:v>第40回</x:v>
      </x:c>
      <x:c r="D45" s="24" t="str">
        <x:v>32—52回</x:v>
      </x:c>
      <x:c r="E45" s="24" t="str">
        <x:v>其他</x:v>
      </x:c>
      <x:c r="F45" s="24" t="str">
        <x:v>家族势力风险</x:v>
      </x:c>
      <x:c r="G45" s="24" t="str">
        <x:v>少年化妖</x:v>
      </x:c>
      <x:c r="H45" s="24" t="str">
        <x:v>红孩儿、唐僧、悟空</x:v>
      </x:c>
      <x:c r="I45" s="24" t="str">
        <x:v>原文第99回明列</x:v>
      </x:c>
      <x:c r="J45" s="24"/>
      <x:c r="K45" s="24"/>
      <x:c r="L45" s="24"/>
      <x:c r="M45" s="24"/>
      <x:c r="N45" s="24"/>
      <x:c r="O45" s="24"/>
    </x:row>
    <x:row r="46">
      <x:c r="A46" s="24" t="n">
        <x:v>29</x:v>
      </x:c>
      <x:c r="B46" s="24" t="str">
        <x:v>風攝聖僧</x:v>
      </x:c>
      <x:c r="C46" s="24" t="str">
        <x:v>第40—41回</x:v>
      </x:c>
      <x:c r="D46" s="24" t="str">
        <x:v>32—52回</x:v>
      </x:c>
      <x:c r="E46" s="24" t="str">
        <x:v>妖怪/战斗风险</x:v>
      </x:c>
      <x:c r="F46" s="24" t="str">
        <x:v>擒获风险</x:v>
      </x:c>
      <x:c r="G46" s="24" t="str">
        <x:v>远程摄取/诱捕</x:v>
      </x:c>
      <x:c r="H46" s="24" t="str">
        <x:v>红孩儿、唐僧</x:v>
      </x:c>
      <x:c r="I46" s="24" t="str">
        <x:v>原文第99回明列</x:v>
      </x:c>
      <x:c r="J46" s="24"/>
      <x:c r="K46" s="24"/>
      <x:c r="L46" s="24"/>
      <x:c r="M46" s="24"/>
      <x:c r="N46" s="24"/>
      <x:c r="O46" s="24"/>
    </x:row>
    <x:row r="47">
      <x:c r="A47" s="24" t="n">
        <x:v>30</x:v>
      </x:c>
      <x:c r="B47" s="24" t="str">
        <x:v>心猿遭害</x:v>
      </x:c>
      <x:c r="C47" s="24" t="str">
        <x:v>第41回</x:v>
      </x:c>
      <x:c r="D47" s="24" t="str">
        <x:v>32—52回</x:v>
      </x:c>
      <x:c r="E47" s="24" t="str">
        <x:v>后台/法宝/收束</x:v>
      </x:c>
      <x:c r="F47" s="24" t="str">
        <x:v>能力克制</x:v>
      </x:c>
      <x:c r="G47" s="24" t="str">
        <x:v>火攻/伤害</x:v>
      </x:c>
      <x:c r="H47" s="24" t="str">
        <x:v>红孩儿、悟空</x:v>
      </x:c>
      <x:c r="I47" s="24" t="str">
        <x:v>原文第99回明列</x:v>
      </x:c>
      <x:c r="J47" s="24"/>
      <x:c r="K47" s="24"/>
      <x:c r="L47" s="24"/>
      <x:c r="M47" s="24"/>
      <x:c r="N47" s="24"/>
      <x:c r="O47" s="24"/>
    </x:row>
    <x:row r="48">
      <x:c r="A48" s="24" t="n">
        <x:v>31</x:v>
      </x:c>
      <x:c r="B48" s="24" t="str">
        <x:v>請聖降妖</x:v>
      </x:c>
      <x:c r="C48" s="24" t="str">
        <x:v>第42回</x:v>
      </x:c>
      <x:c r="D48" s="24" t="str">
        <x:v>32—52回</x:v>
      </x:c>
      <x:c r="E48" s="24" t="str">
        <x:v>后台/法宝/收束</x:v>
      </x:c>
      <x:c r="F48" s="24" t="str">
        <x:v>救援收编</x:v>
      </x:c>
      <x:c r="G48" s="24" t="str">
        <x:v>外部权威收束</x:v>
      </x:c>
      <x:c r="H48" s="24" t="str">
        <x:v>观音、红孩儿、悟空</x:v>
      </x:c>
      <x:c r="I48" s="24" t="str">
        <x:v>原文第99回明列</x:v>
      </x:c>
      <x:c r="J48" s="24"/>
      <x:c r="K48" s="24"/>
      <x:c r="L48" s="24"/>
      <x:c r="M48" s="24"/>
      <x:c r="N48" s="24"/>
      <x:c r="O48" s="24"/>
    </x:row>
    <x:row r="49">
      <x:c r="A49" s="24" t="n">
        <x:v>32</x:v>
      </x:c>
      <x:c r="B49" s="24" t="str">
        <x:v>黑河沉沒</x:v>
      </x:c>
      <x:c r="C49" s="24" t="str">
        <x:v>第43回</x:v>
      </x:c>
      <x:c r="D49" s="24" t="str">
        <x:v>32—52回</x:v>
      </x:c>
      <x:c r="E49" s="24" t="str">
        <x:v>后台/法宝/收束</x:v>
      </x:c>
      <x:c r="F49" s="24" t="str">
        <x:v>亲属后台风险</x:v>
      </x:c>
      <x:c r="G49" s="24" t="str">
        <x:v>水域劫持</x:v>
      </x:c>
      <x:c r="H49" s="24" t="str">
        <x:v>鼍龙、西海龙王、摩昂太子</x:v>
      </x:c>
      <x:c r="I49" s="24" t="str">
        <x:v>原文第99回明列</x:v>
      </x:c>
      <x:c r="J49" s="24"/>
      <x:c r="K49" s="24"/>
      <x:c r="L49" s="24"/>
      <x:c r="M49" s="24"/>
      <x:c r="N49" s="24"/>
      <x:c r="O49" s="24"/>
    </x:row>
    <x:row r="50">
      <x:c r="A50" s="24" t="n">
        <x:v>33</x:v>
      </x:c>
      <x:c r="B50" s="24" t="str">
        <x:v>搬運車遲</x:v>
      </x:c>
      <x:c r="C50" s="24" t="str">
        <x:v>第44回</x:v>
      </x:c>
      <x:c r="D50" s="24" t="str">
        <x:v>32—52回</x:v>
      </x:c>
      <x:c r="E50" s="24" t="str">
        <x:v>制度/王权/合法性</x:v>
      </x:c>
      <x:c r="F50" s="24" t="str">
        <x:v>制度流程</x:v>
      </x:c>
      <x:c r="G50" s="24" t="str">
        <x:v>通关文牒/政务阻滞</x:v>
      </x:c>
      <x:c r="H50" s="24" t="str">
        <x:v>车迟国王、三大仙、唐僧师徒</x:v>
      </x:c>
      <x:c r="I50" s="24" t="str">
        <x:v>原文第99回明列</x:v>
      </x:c>
      <x:c r="J50" s="24"/>
      <x:c r="K50" s="24"/>
      <x:c r="L50" s="24"/>
      <x:c r="M50" s="24"/>
      <x:c r="N50" s="24"/>
      <x:c r="O50" s="24"/>
    </x:row>
    <x:row r="51">
      <x:c r="A51" s="24" t="n">
        <x:v>34</x:v>
      </x:c>
      <x:c r="B51" s="24" t="str">
        <x:v>大賭輸贏</x:v>
      </x:c>
      <x:c r="C51" s="24" t="str">
        <x:v>第45—46回</x:v>
      </x:c>
      <x:c r="D51" s="24" t="str">
        <x:v>32—52回</x:v>
      </x:c>
      <x:c r="E51" s="24" t="str">
        <x:v>制度/王权/合法性</x:v>
      </x:c>
      <x:c r="F51" s="24" t="str">
        <x:v>伪权威风险</x:v>
      </x:c>
      <x:c r="G51" s="24" t="str">
        <x:v>公开赌斗/考验</x:v>
      </x:c>
      <x:c r="H51" s="24" t="str">
        <x:v>虎力、鹿力、羊力、悟空</x:v>
      </x:c>
      <x:c r="I51" s="24" t="str">
        <x:v>原文第99回明列</x:v>
      </x:c>
      <x:c r="J51" s="24"/>
      <x:c r="K51" s="24"/>
      <x:c r="L51" s="24"/>
      <x:c r="M51" s="24"/>
      <x:c r="N51" s="24"/>
      <x:c r="O51" s="24"/>
    </x:row>
    <x:row r="52">
      <x:c r="A52" s="24" t="n">
        <x:v>35</x:v>
      </x:c>
      <x:c r="B52" s="24" t="str">
        <x:v>祛道興僧</x:v>
      </x:c>
      <x:c r="C52" s="24" t="str">
        <x:v>第46回</x:v>
      </x:c>
      <x:c r="D52" s="24" t="str">
        <x:v>32—52回</x:v>
      </x:c>
      <x:c r="E52" s="24" t="str">
        <x:v>制度/王权/合法性</x:v>
      </x:c>
      <x:c r="F52" s="24" t="str">
        <x:v>制度修复</x:v>
      </x:c>
      <x:c r="G52" s="24" t="str">
        <x:v>宗教秩序调整</x:v>
      </x:c>
      <x:c r="H52" s="24" t="str">
        <x:v>车迟国王、唐僧师徒</x:v>
      </x:c>
      <x:c r="I52" s="24" t="str">
        <x:v>原文第99回明列</x:v>
      </x:c>
      <x:c r="J52" s="24"/>
      <x:c r="K52" s="24"/>
      <x:c r="L52" s="24"/>
      <x:c r="M52" s="24"/>
      <x:c r="N52" s="24"/>
      <x:c r="O52" s="24"/>
    </x:row>
    <x:row r="53">
      <x:c r="A53" s="24" t="n">
        <x:v>36</x:v>
      </x:c>
      <x:c r="B53" s="24" t="str">
        <x:v>路逢大水</x:v>
      </x:c>
      <x:c r="C53" s="24" t="str">
        <x:v>第47回</x:v>
      </x:c>
      <x:c r="D53" s="24" t="str">
        <x:v>32—52回</x:v>
      </x:c>
      <x:c r="E53" s="24" t="str">
        <x:v>环境/民生/资源</x:v>
      </x:c>
      <x:c r="F53" s="24" t="str">
        <x:v>自然/地方治理</x:v>
      </x:c>
      <x:c r="G53" s="24" t="str">
        <x:v>水域阻隔</x:v>
      </x:c>
      <x:c r="H53" s="24" t="str">
        <x:v>通天河、陈家庄</x:v>
      </x:c>
      <x:c r="I53" s="24" t="str">
        <x:v>原文第99回明列</x:v>
      </x:c>
      <x:c r="J53" s="24"/>
      <x:c r="K53" s="24"/>
      <x:c r="L53" s="24"/>
      <x:c r="M53" s="24"/>
      <x:c r="N53" s="24"/>
      <x:c r="O53" s="24"/>
    </x:row>
    <x:row r="54">
      <x:c r="A54" s="24" t="n">
        <x:v>37</x:v>
      </x:c>
      <x:c r="B54" s="24" t="str">
        <x:v>身落天河</x:v>
      </x:c>
      <x:c r="C54" s="24" t="str">
        <x:v>第48回</x:v>
      </x:c>
      <x:c r="D54" s="24" t="str">
        <x:v>32—52回</x:v>
      </x:c>
      <x:c r="E54" s="24" t="str">
        <x:v>环境/民生/资源</x:v>
      </x:c>
      <x:c r="F54" s="24" t="str">
        <x:v>擒获风险</x:v>
      </x:c>
      <x:c r="G54" s="24" t="str">
        <x:v>水域劫持</x:v>
      </x:c>
      <x:c r="H54" s="24" t="str">
        <x:v>灵感大王、唐僧</x:v>
      </x:c>
      <x:c r="I54" s="24" t="str">
        <x:v>原文第99回明列</x:v>
      </x:c>
      <x:c r="J54" s="24"/>
      <x:c r="K54" s="24"/>
      <x:c r="L54" s="24"/>
      <x:c r="M54" s="24"/>
      <x:c r="N54" s="24"/>
      <x:c r="O54" s="24"/>
    </x:row>
    <x:row r="55">
      <x:c r="A55" s="24" t="n">
        <x:v>38</x:v>
      </x:c>
      <x:c r="B55" s="24" t="str">
        <x:v>魚籃現身</x:v>
      </x:c>
      <x:c r="C55" s="24" t="str">
        <x:v>第49回</x:v>
      </x:c>
      <x:c r="D55" s="24" t="str">
        <x:v>32—52回</x:v>
      </x:c>
      <x:c r="E55" s="24" t="str">
        <x:v>后台/法宝/收束</x:v>
      </x:c>
      <x:c r="F55" s="24" t="str">
        <x:v>救援收束</x:v>
      </x:c>
      <x:c r="G55" s="24" t="str">
        <x:v>佛门后台</x:v>
      </x:c>
      <x:c r="H55" s="24" t="str">
        <x:v>观音、灵感大王、悟空</x:v>
      </x:c>
      <x:c r="I55" s="24" t="str">
        <x:v>原文第99回明列</x:v>
      </x:c>
      <x:c r="J55" s="24"/>
      <x:c r="K55" s="24"/>
      <x:c r="L55" s="24"/>
      <x:c r="M55" s="24"/>
      <x:c r="N55" s="24"/>
      <x:c r="O55" s="24"/>
    </x:row>
    <x:row r="56">
      <x:c r="A56" s="24" t="n">
        <x:v>39</x:v>
      </x:c>
      <x:c r="B56" s="24" t="str">
        <x:v>兜山遇怪</x:v>
      </x:c>
      <x:c r="C56" s="24" t="str">
        <x:v>第50回</x:v>
      </x:c>
      <x:c r="D56" s="24" t="str">
        <x:v>32—52回</x:v>
      </x:c>
      <x:c r="E56" s="24" t="str">
        <x:v>后台/法宝/收束</x:v>
      </x:c>
      <x:c r="F56" s="24" t="str">
        <x:v>法宝风险</x:v>
      </x:c>
      <x:c r="G56" s="24" t="str">
        <x:v>老君青牛/金刚琢</x:v>
      </x:c>
      <x:c r="H56" s="24" t="str">
        <x:v>独角兕、悟空、诸神</x:v>
      </x:c>
      <x:c r="I56" s="24" t="str">
        <x:v>原文第99回明列</x:v>
      </x:c>
      <x:c r="J56" s="24"/>
      <x:c r="K56" s="24"/>
      <x:c r="L56" s="24"/>
      <x:c r="M56" s="24"/>
      <x:c r="N56" s="24"/>
      <x:c r="O56" s="24"/>
    </x:row>
    <x:row r="57">
      <x:c r="A57" s="24" t="n">
        <x:v>40</x:v>
      </x:c>
      <x:c r="B57" s="24" t="str">
        <x:v>普天神難伏</x:v>
      </x:c>
      <x:c r="C57" s="24" t="str">
        <x:v>第51回</x:v>
      </x:c>
      <x:c r="D57" s="24" t="str">
        <x:v>32—52回</x:v>
      </x:c>
      <x:c r="E57" s="24" t="str">
        <x:v>后台/法宝/收束</x:v>
      </x:c>
      <x:c r="F57" s="24" t="str">
        <x:v>救援失效</x:v>
      </x:c>
      <x:c r="G57" s="24" t="str">
        <x:v>法宝压制</x:v>
      </x:c>
      <x:c r="H57" s="24" t="str">
        <x:v>天兵天将、悟空、青牛</x:v>
      </x:c>
      <x:c r="I57" s="24" t="str">
        <x:v>原文第99回明列</x:v>
      </x:c>
      <x:c r="J57" s="24"/>
      <x:c r="K57" s="24"/>
      <x:c r="L57" s="24"/>
      <x:c r="M57" s="24"/>
      <x:c r="N57" s="24"/>
      <x:c r="O57" s="24"/>
    </x:row>
    <x:row r="58">
      <x:c r="A58" s="24" t="n">
        <x:v>41</x:v>
      </x:c>
      <x:c r="B58" s="24" t="str">
        <x:v>問佛根源</x:v>
      </x:c>
      <x:c r="C58" s="24" t="str">
        <x:v>第52回</x:v>
      </x:c>
      <x:c r="D58" s="24" t="str">
        <x:v>32—52回</x:v>
      </x:c>
      <x:c r="E58" s="24" t="str">
        <x:v>后台/法宝/收束</x:v>
      </x:c>
      <x:c r="F58" s="24" t="str">
        <x:v>根因追溯</x:v>
      </x:c>
      <x:c r="G58" s="24" t="str">
        <x:v>后台识别</x:v>
      </x:c>
      <x:c r="H58" s="24" t="str">
        <x:v>如来、悟空、太上老君</x:v>
      </x:c>
      <x:c r="I58" s="24" t="str">
        <x:v>原文第99回明列</x:v>
      </x:c>
      <x:c r="J58" s="24"/>
      <x:c r="K58" s="24"/>
      <x:c r="L58" s="24"/>
      <x:c r="M58" s="24"/>
      <x:c r="N58" s="24"/>
      <x:c r="O58" s="24"/>
    </x:row>
    <x:row r="59">
      <x:c r="A59" s="24" t="n">
        <x:v>42</x:v>
      </x:c>
      <x:c r="B59" s="24" t="str">
        <x:v>吃水遭毒</x:v>
      </x:c>
      <x:c r="C59" s="24" t="str">
        <x:v>第53回</x:v>
      </x:c>
      <x:c r="D59" s="24" t="str">
        <x:v>53—61回</x:v>
      </x:c>
      <x:c r="E59" s="24" t="str">
        <x:v>欲望/身体/身份</x:v>
      </x:c>
      <x:c r="F59" s="24" t="str">
        <x:v>身体风险</x:v>
      </x:c>
      <x:c r="G59" s="24" t="str">
        <x:v>生理困局</x:v>
      </x:c>
      <x:c r="H59" s="24" t="str">
        <x:v>唐僧、八戒、子母河</x:v>
      </x:c>
      <x:c r="I59" s="24" t="str">
        <x:v>原文第99回明列</x:v>
      </x:c>
      <x:c r="J59" s="24"/>
      <x:c r="K59" s="24"/>
      <x:c r="L59" s="24"/>
      <x:c r="M59" s="24"/>
      <x:c r="N59" s="24"/>
      <x:c r="O59" s="24"/>
    </x:row>
    <x:row r="60">
      <x:c r="A60" s="24" t="n">
        <x:v>43</x:v>
      </x:c>
      <x:c r="B60" s="24" t="str">
        <x:v>西梁國留婚</x:v>
      </x:c>
      <x:c r="C60" s="24" t="str">
        <x:v>第54回</x:v>
      </x:c>
      <x:c r="D60" s="24" t="str">
        <x:v>53—61回</x:v>
      </x:c>
      <x:c r="E60" s="24" t="str">
        <x:v>欲望/身体/身份</x:v>
      </x:c>
      <x:c r="F60" s="24" t="str">
        <x:v>欲望/关系风险</x:v>
      </x:c>
      <x:c r="G60" s="24" t="str">
        <x:v>柔性诱惑</x:v>
      </x:c>
      <x:c r="H60" s="24" t="str">
        <x:v>女儿国王、唐僧</x:v>
      </x:c>
      <x:c r="I60" s="24" t="str">
        <x:v>原文第99回明列</x:v>
      </x:c>
      <x:c r="J60" s="24"/>
      <x:c r="K60" s="24"/>
      <x:c r="L60" s="24"/>
      <x:c r="M60" s="24"/>
      <x:c r="N60" s="24"/>
      <x:c r="O60" s="24"/>
    </x:row>
    <x:row r="61">
      <x:c r="A61" s="24" t="n">
        <x:v>44</x:v>
      </x:c>
      <x:c r="B61" s="24" t="str">
        <x:v>琵琶洞受苦</x:v>
      </x:c>
      <x:c r="C61" s="24" t="str">
        <x:v>第55回</x:v>
      </x:c>
      <x:c r="D61" s="24" t="str">
        <x:v>53—61回</x:v>
      </x:c>
      <x:c r="E61" s="24" t="str">
        <x:v>欲望/身体/身份</x:v>
      </x:c>
      <x:c r="F61" s="24" t="str">
        <x:v>欲望/攻击合一</x:v>
      </x:c>
      <x:c r="G61" s="24" t="str">
        <x:v>毒刺伤害</x:v>
      </x:c>
      <x:c r="H61" s="24" t="str">
        <x:v>蝎子精、唐僧、悟空、昴日星官</x:v>
      </x:c>
      <x:c r="I61" s="24" t="str">
        <x:v>原文第99回明列</x:v>
      </x:c>
      <x:c r="J61" s="24"/>
      <x:c r="K61" s="24"/>
      <x:c r="L61" s="24"/>
      <x:c r="M61" s="24"/>
      <x:c r="N61" s="24"/>
      <x:c r="O61" s="24"/>
    </x:row>
    <x:row r="62">
      <x:c r="A62" s="24" t="n">
        <x:v>45</x:v>
      </x:c>
      <x:c r="B62" s="24" t="str">
        <x:v>再貶心猿</x:v>
      </x:c>
      <x:c r="C62" s="24" t="str">
        <x:v>第56回</x:v>
      </x:c>
      <x:c r="D62" s="24" t="str">
        <x:v>53—61回</x:v>
      </x:c>
      <x:c r="E62" s="24" t="str">
        <x:v>团队/协同/信任</x:v>
      </x:c>
      <x:c r="F62" s="24" t="str">
        <x:v>团队信任风险</x:v>
      </x:c>
      <x:c r="G62" s="24" t="str">
        <x:v>执行尺度冲突</x:v>
      </x:c>
      <x:c r="H62" s="24" t="str">
        <x:v>唐僧、悟空、草寇</x:v>
      </x:c>
      <x:c r="I62" s="24" t="str">
        <x:v>原文第99回明列</x:v>
      </x:c>
      <x:c r="J62" s="24"/>
      <x:c r="K62" s="24"/>
      <x:c r="L62" s="24"/>
      <x:c r="M62" s="24"/>
      <x:c r="N62" s="24"/>
      <x:c r="O62" s="24"/>
    </x:row>
    <x:row r="63">
      <x:c r="A63" s="24" t="n">
        <x:v>46</x:v>
      </x:c>
      <x:c r="B63" s="24" t="str">
        <x:v>難辨獼猴</x:v>
      </x:c>
      <x:c r="C63" s="24" t="str">
        <x:v>第57—58回</x:v>
      </x:c>
      <x:c r="D63" s="24" t="str">
        <x:v>53—61回</x:v>
      </x:c>
      <x:c r="E63" s="24" t="str">
        <x:v>欲望/身体/身份</x:v>
      </x:c>
      <x:c r="F63" s="24" t="str">
        <x:v>身份/心性风险</x:v>
      </x:c>
      <x:c r="G63" s="24" t="str">
        <x:v>二心/复制</x:v>
      </x:c>
      <x:c r="H63" s="24" t="str">
        <x:v>孙悟空、六耳猕猴、谛听、如来</x:v>
      </x:c>
      <x:c r="I63" s="24" t="str">
        <x:v>原文第99回明列</x:v>
      </x:c>
      <x:c r="J63" s="24"/>
      <x:c r="K63" s="24"/>
      <x:c r="L63" s="24"/>
      <x:c r="M63" s="24"/>
      <x:c r="N63" s="24"/>
      <x:c r="O63" s="24"/>
    </x:row>
    <x:row r="64">
      <x:c r="A64" s="24" t="n">
        <x:v>47</x:v>
      </x:c>
      <x:c r="B64" s="24" t="str">
        <x:v>路阻火焰山</x:v>
      </x:c>
      <x:c r="C64" s="24" t="str">
        <x:v>第59回</x:v>
      </x:c>
      <x:c r="D64" s="24" t="str">
        <x:v>53—61回</x:v>
      </x:c>
      <x:c r="E64" s="24" t="str">
        <x:v>环境/民生/资源</x:v>
      </x:c>
      <x:c r="F64" s="24" t="str">
        <x:v>环境风险</x:v>
      </x:c>
      <x:c r="G64" s="24" t="str">
        <x:v>不可绕行/高温</x:v>
      </x:c>
      <x:c r="H64" s="24" t="str">
        <x:v>火焰山、土地、唐僧师徒</x:v>
      </x:c>
      <x:c r="I64" s="24" t="str">
        <x:v>原文第99回明列</x:v>
      </x:c>
      <x:c r="J64" s="24"/>
      <x:c r="K64" s="24"/>
      <x:c r="L64" s="24"/>
      <x:c r="M64" s="24"/>
      <x:c r="N64" s="24"/>
      <x:c r="O64" s="24"/>
    </x:row>
    <x:row r="65">
      <x:c r="A65" s="24" t="n">
        <x:v>48</x:v>
      </x:c>
      <x:c r="B65" s="24" t="str">
        <x:v>求取芭蕉扇</x:v>
      </x:c>
      <x:c r="C65" s="24" t="str">
        <x:v>第59—61回</x:v>
      </x:c>
      <x:c r="D65" s="24" t="str">
        <x:v>53—61回</x:v>
      </x:c>
      <x:c r="E65" s="24" t="str">
        <x:v>环境/民生/资源</x:v>
      </x:c>
      <x:c r="F65" s="24" t="str">
        <x:v>关键资源风险</x:v>
      </x:c>
      <x:c r="G65" s="24" t="str">
        <x:v>资源争夺</x:v>
      </x:c>
      <x:c r="H65" s="24" t="str">
        <x:v>铁扇公主、牛魔王、悟空</x:v>
      </x:c>
      <x:c r="I65" s="24" t="str">
        <x:v>原文第99回明列</x:v>
      </x:c>
      <x:c r="J65" s="24"/>
      <x:c r="K65" s="24"/>
      <x:c r="L65" s="24"/>
      <x:c r="M65" s="24"/>
      <x:c r="N65" s="24"/>
      <x:c r="O65" s="24"/>
    </x:row>
    <x:row r="66">
      <x:c r="A66" s="24" t="n">
        <x:v>49</x:v>
      </x:c>
      <x:c r="B66" s="24" t="str">
        <x:v>收縛魔王</x:v>
      </x:c>
      <x:c r="C66" s="24" t="str">
        <x:v>第61回</x:v>
      </x:c>
      <x:c r="D66" s="24" t="str">
        <x:v>53—61回</x:v>
      </x:c>
      <x:c r="E66" s="24" t="str">
        <x:v>后台/法宝/收束</x:v>
      </x:c>
      <x:c r="F66" s="24" t="str">
        <x:v>协同治理</x:v>
      </x:c>
      <x:c r="G66" s="24" t="str">
        <x:v>家族势力收束</x:v>
      </x:c>
      <x:c r="H66" s="24" t="str">
        <x:v>牛魔王、哪吒、天兵、悟空</x:v>
      </x:c>
      <x:c r="I66" s="24" t="str">
        <x:v>原文第99回明列</x:v>
      </x:c>
      <x:c r="J66" s="24"/>
      <x:c r="K66" s="24"/>
      <x:c r="L66" s="24"/>
      <x:c r="M66" s="24"/>
      <x:c r="N66" s="24"/>
      <x:c r="O66" s="24"/>
    </x:row>
    <x:row r="67">
      <x:c r="A67" s="24" t="n">
        <x:v>50</x:v>
      </x:c>
      <x:c r="B67" s="24" t="str">
        <x:v>賽城掃塔</x:v>
      </x:c>
      <x:c r="C67" s="24" t="str">
        <x:v>第62回</x:v>
      </x:c>
      <x:c r="D67" s="24" t="str">
        <x:v>62—77回</x:v>
      </x:c>
      <x:c r="E67" s="24" t="str">
        <x:v>制度/王权/合法性</x:v>
      </x:c>
      <x:c r="F67" s="24" t="str">
        <x:v>冤案/资产风险</x:v>
      </x:c>
      <x:c r="G67" s="24" t="str">
        <x:v>失宝追查</x:v>
      </x:c>
      <x:c r="H67" s="24" t="str">
        <x:v>祭赛国王、金光寺僧、悟空</x:v>
      </x:c>
      <x:c r="I67" s="24" t="str">
        <x:v>原文第99回明列</x:v>
      </x:c>
      <x:c r="J67" s="24"/>
      <x:c r="K67" s="24"/>
      <x:c r="L67" s="24"/>
      <x:c r="M67" s="24"/>
      <x:c r="N67" s="24"/>
      <x:c r="O67" s="24"/>
    </x:row>
    <x:row r="68">
      <x:c r="A68" s="24" t="n">
        <x:v>51</x:v>
      </x:c>
      <x:c r="B68" s="24" t="str">
        <x:v>取寶救僧</x:v>
      </x:c>
      <x:c r="C68" s="24" t="str">
        <x:v>第63回</x:v>
      </x:c>
      <x:c r="D68" s="24" t="str">
        <x:v>62—77回</x:v>
      </x:c>
      <x:c r="E68" s="24" t="str">
        <x:v>制度/王权/合法性</x:v>
      </x:c>
      <x:c r="F68" s="24" t="str">
        <x:v>冤案昭雪</x:v>
      </x:c>
      <x:c r="G68" s="24" t="str">
        <x:v>追赃救人</x:v>
      </x:c>
      <x:c r="H68" s="24" t="str">
        <x:v>九头虫、万圣公主、二郎神</x:v>
      </x:c>
      <x:c r="I68" s="24" t="str">
        <x:v>原文第99回明列</x:v>
      </x:c>
      <x:c r="J68" s="24"/>
      <x:c r="K68" s="24"/>
      <x:c r="L68" s="24"/>
      <x:c r="M68" s="24"/>
      <x:c r="N68" s="24"/>
      <x:c r="O68" s="24"/>
    </x:row>
    <x:row r="69">
      <x:c r="A69" s="24" t="n">
        <x:v>52</x:v>
      </x:c>
      <x:c r="B69" s="24" t="str">
        <x:v>棘林吟詠</x:v>
      </x:c>
      <x:c r="C69" s="24" t="str">
        <x:v>第64回</x:v>
      </x:c>
      <x:c r="D69" s="24" t="str">
        <x:v>62—77回</x:v>
      </x:c>
      <x:c r="E69" s="24" t="str">
        <x:v>欲望/身体/身份</x:v>
      </x:c>
      <x:c r="F69" s="24" t="str">
        <x:v>文化诱惑</x:v>
      </x:c>
      <x:c r="G69" s="24" t="str">
        <x:v>诗文雅趣迷障</x:v>
      </x:c>
      <x:c r="H69" s="24" t="str">
        <x:v>树精、杏仙、唐僧</x:v>
      </x:c>
      <x:c r="I69" s="24" t="str">
        <x:v>原文第99回明列</x:v>
      </x:c>
      <x:c r="J69" s="24"/>
      <x:c r="K69" s="24"/>
      <x:c r="L69" s="24"/>
      <x:c r="M69" s="24"/>
      <x:c r="N69" s="24"/>
      <x:c r="O69" s="24"/>
    </x:row>
    <x:row r="70">
      <x:c r="A70" s="24" t="n">
        <x:v>53</x:v>
      </x:c>
      <x:c r="B70" s="24" t="str">
        <x:v>小雷音遇難</x:v>
      </x:c>
      <x:c r="C70" s="24" t="str">
        <x:v>第65回</x:v>
      </x:c>
      <x:c r="D70" s="24" t="str">
        <x:v>62—77回</x:v>
      </x:c>
      <x:c r="E70" s="24" t="str">
        <x:v>其他</x:v>
      </x:c>
      <x:c r="F70" s="24" t="str">
        <x:v>假权威风险</x:v>
      </x:c>
      <x:c r="G70" s="24" t="str">
        <x:v>冒充佛门</x:v>
      </x:c>
      <x:c r="H70" s="24" t="str">
        <x:v>黄眉老怪、唐僧师徒</x:v>
      </x:c>
      <x:c r="I70" s="24" t="str">
        <x:v>原文第99回明列</x:v>
      </x:c>
      <x:c r="J70" s="24"/>
      <x:c r="K70" s="24"/>
      <x:c r="L70" s="24"/>
      <x:c r="M70" s="24"/>
      <x:c r="N70" s="24"/>
      <x:c r="O70" s="24"/>
    </x:row>
    <x:row r="71">
      <x:c r="A71" s="24" t="n">
        <x:v>54</x:v>
      </x:c>
      <x:c r="B71" s="24" t="str">
        <x:v>諸天神遭困</x:v>
      </x:c>
      <x:c r="C71" s="24" t="str">
        <x:v>第66回</x:v>
      </x:c>
      <x:c r="D71" s="24" t="str">
        <x:v>62—77回</x:v>
      </x:c>
      <x:c r="E71" s="24" t="str">
        <x:v>后台/法宝/收束</x:v>
      </x:c>
      <x:c r="F71" s="24" t="str">
        <x:v>救援失效</x:v>
      </x:c>
      <x:c r="G71" s="24" t="str">
        <x:v>法宝压制</x:v>
      </x:c>
      <x:c r="H71" s="24" t="str">
        <x:v>黄眉、弥勒、诸天神将</x:v>
      </x:c>
      <x:c r="I71" s="24" t="str">
        <x:v>原文第99回明列</x:v>
      </x:c>
      <x:c r="J71" s="24"/>
      <x:c r="K71" s="24"/>
      <x:c r="L71" s="24"/>
      <x:c r="M71" s="24"/>
      <x:c r="N71" s="24"/>
      <x:c r="O71" s="24"/>
    </x:row>
    <x:row r="72">
      <x:c r="A72" s="24" t="n">
        <x:v>55</x:v>
      </x:c>
      <x:c r="B72" s="24" t="str">
        <x:v>稀柿衕穢阻</x:v>
      </x:c>
      <x:c r="C72" s="24" t="str">
        <x:v>第67回</x:v>
      </x:c>
      <x:c r="D72" s="24" t="str">
        <x:v>62—77回</x:v>
      </x:c>
      <x:c r="E72" s="24" t="str">
        <x:v>环境/民生/资源</x:v>
      </x:c>
      <x:c r="F72" s="24" t="str">
        <x:v>环境/秽污风险</x:v>
      </x:c>
      <x:c r="G72" s="24" t="str">
        <x:v>污秽阻隔</x:v>
      </x:c>
      <x:c r="H72" s="24" t="str">
        <x:v>蟒蛇精、八戒、悟空</x:v>
      </x:c>
      <x:c r="I72" s="24" t="str">
        <x:v>原文第99回明列</x:v>
      </x:c>
      <x:c r="J72" s="24"/>
      <x:c r="K72" s="24"/>
      <x:c r="L72" s="24"/>
      <x:c r="M72" s="24"/>
      <x:c r="N72" s="24"/>
      <x:c r="O72" s="24"/>
    </x:row>
    <x:row r="73">
      <x:c r="A73" s="24" t="n">
        <x:v>56</x:v>
      </x:c>
      <x:c r="B73" s="24" t="str">
        <x:v>朱紫國行醫</x:v>
      </x:c>
      <x:c r="C73" s="24" t="str">
        <x:v>第68回</x:v>
      </x:c>
      <x:c r="D73" s="24" t="str">
        <x:v>62—77回</x:v>
      </x:c>
      <x:c r="E73" s="24" t="str">
        <x:v>环境/民生/资源</x:v>
      </x:c>
      <x:c r="F73" s="24" t="str">
        <x:v>治理/医疗风险</x:v>
      </x:c>
      <x:c r="G73" s="24" t="str">
        <x:v>病症诊断</x:v>
      </x:c>
      <x:c r="H73" s="24" t="str">
        <x:v>朱紫国王、悟空</x:v>
      </x:c>
      <x:c r="I73" s="24" t="str">
        <x:v>原文第99回明列</x:v>
      </x:c>
      <x:c r="J73" s="24"/>
      <x:c r="K73" s="24"/>
      <x:c r="L73" s="24"/>
      <x:c r="M73" s="24"/>
      <x:c r="N73" s="24"/>
      <x:c r="O73" s="24"/>
    </x:row>
    <x:row r="74">
      <x:c r="A74" s="24" t="n">
        <x:v>57</x:v>
      </x:c>
      <x:c r="B74" s="24" t="str">
        <x:v>拯救疲癃</x:v>
      </x:c>
      <x:c r="C74" s="24" t="str">
        <x:v>第69回</x:v>
      </x:c>
      <x:c r="D74" s="24" t="str">
        <x:v>62—77回</x:v>
      </x:c>
      <x:c r="E74" s="24" t="str">
        <x:v>其他</x:v>
      </x:c>
      <x:c r="F74" s="24" t="str">
        <x:v>治理修复</x:v>
      </x:c>
      <x:c r="G74" s="24" t="str">
        <x:v>病体/国体修复</x:v>
      </x:c>
      <x:c r="H74" s="24" t="str">
        <x:v>朱紫国王、金圣宫、悟空</x:v>
      </x:c>
      <x:c r="I74" s="24" t="str">
        <x:v>原文第99回明列</x:v>
      </x:c>
      <x:c r="J74" s="24"/>
      <x:c r="K74" s="24"/>
      <x:c r="L74" s="24"/>
      <x:c r="M74" s="24"/>
      <x:c r="N74" s="24"/>
      <x:c r="O74" s="24"/>
    </x:row>
    <x:row r="75">
      <x:c r="A75" s="24" t="n">
        <x:v>58</x:v>
      </x:c>
      <x:c r="B75" s="24" t="str">
        <x:v>降妖取后</x:v>
      </x:c>
      <x:c r="C75" s="24" t="str">
        <x:v>第70—71回</x:v>
      </x:c>
      <x:c r="D75" s="24" t="str">
        <x:v>62—77回</x:v>
      </x:c>
      <x:c r="E75" s="24" t="str">
        <x:v>后台/法宝/收束</x:v>
      </x:c>
      <x:c r="F75" s="24" t="str">
        <x:v>后台坐骑风险</x:v>
      </x:c>
      <x:c r="G75" s="24" t="str">
        <x:v>法宝外溢/掳掠</x:v>
      </x:c>
      <x:c r="H75" s="24" t="str">
        <x:v>赛太岁、观音、金圣宫</x:v>
      </x:c>
      <x:c r="I75" s="24" t="str">
        <x:v>原文第99回明列</x:v>
      </x:c>
      <x:c r="J75" s="24"/>
      <x:c r="K75" s="24"/>
      <x:c r="L75" s="24"/>
      <x:c r="M75" s="24"/>
      <x:c r="N75" s="24"/>
      <x:c r="O75" s="24"/>
    </x:row>
    <x:row r="76">
      <x:c r="A76" s="24" t="n">
        <x:v>59</x:v>
      </x:c>
      <x:c r="B76" s="24" t="str">
        <x:v>七情迷沒</x:v>
      </x:c>
      <x:c r="C76" s="24" t="str">
        <x:v>第72回</x:v>
      </x:c>
      <x:c r="D76" s="24" t="str">
        <x:v>62—77回</x:v>
      </x:c>
      <x:c r="E76" s="24" t="str">
        <x:v>欲望/身体/身份</x:v>
      </x:c>
      <x:c r="F76" s="24" t="str">
        <x:v>欲望风险</x:v>
      </x:c>
      <x:c r="G76" s="24" t="str">
        <x:v>缠缚/身体失控</x:v>
      </x:c>
      <x:c r="H76" s="24" t="str">
        <x:v>蜘蛛精、八戒、唐僧</x:v>
      </x:c>
      <x:c r="I76" s="24" t="str">
        <x:v>原文第99回明列</x:v>
      </x:c>
      <x:c r="J76" s="24"/>
      <x:c r="K76" s="24"/>
      <x:c r="L76" s="24"/>
      <x:c r="M76" s="24"/>
      <x:c r="N76" s="24"/>
      <x:c r="O76" s="24"/>
    </x:row>
    <x:row r="77">
      <x:c r="A77" s="24" t="n">
        <x:v>60</x:v>
      </x:c>
      <x:c r="B77" s="24" t="str">
        <x:v>多目遭傷</x:v>
      </x:c>
      <x:c r="C77" s="24" t="str">
        <x:v>第73回</x:v>
      </x:c>
      <x:c r="D77" s="24" t="str">
        <x:v>62—77回</x:v>
      </x:c>
      <x:c r="E77" s="24" t="str">
        <x:v>后台/法宝/收束</x:v>
      </x:c>
      <x:c r="F77" s="24" t="str">
        <x:v>能力克制</x:v>
      </x:c>
      <x:c r="G77" s="24" t="str">
        <x:v>视觉/毒光攻击</x:v>
      </x:c>
      <x:c r="H77" s="24" t="str">
        <x:v>多目怪、悟空、毗蓝婆</x:v>
      </x:c>
      <x:c r="I77" s="24" t="str">
        <x:v>原文第99回明列</x:v>
      </x:c>
      <x:c r="J77" s="24"/>
      <x:c r="K77" s="24"/>
      <x:c r="L77" s="24"/>
      <x:c r="M77" s="24"/>
      <x:c r="N77" s="24"/>
      <x:c r="O77" s="24"/>
    </x:row>
    <x:row r="78">
      <x:c r="A78" s="24" t="n">
        <x:v>61</x:v>
      </x:c>
      <x:c r="B78" s="24" t="str">
        <x:v>路阻獅駝</x:v>
      </x:c>
      <x:c r="C78" s="24" t="str">
        <x:v>第74—75回</x:v>
      </x:c>
      <x:c r="D78" s="24" t="str">
        <x:v>62—77回</x:v>
      </x:c>
      <x:c r="E78" s="24" t="str">
        <x:v>妖怪/战斗风险</x:v>
      </x:c>
      <x:c r="F78" s="24" t="str">
        <x:v>组织化妖怪风险</x:v>
      </x:c>
      <x:c r="G78" s="24" t="str">
        <x:v>极端风险预警</x:v>
      </x:c>
      <x:c r="H78" s="24" t="str">
        <x:v>太白金星、悟空、三魔</x:v>
      </x:c>
      <x:c r="I78" s="24" t="str">
        <x:v>原文第99回明列</x:v>
      </x:c>
      <x:c r="J78" s="24"/>
      <x:c r="K78" s="24"/>
      <x:c r="L78" s="24"/>
      <x:c r="M78" s="24"/>
      <x:c r="N78" s="24"/>
      <x:c r="O78" s="24"/>
    </x:row>
    <x:row r="79">
      <x:c r="A79" s="24" t="n">
        <x:v>62</x:v>
      </x:c>
      <x:c r="B79" s="24" t="str">
        <x:v>怪分三色</x:v>
      </x:c>
      <x:c r="C79" s="24" t="str">
        <x:v>第75—76回</x:v>
      </x:c>
      <x:c r="D79" s="24" t="str">
        <x:v>62—77回</x:v>
      </x:c>
      <x:c r="E79" s="24" t="str">
        <x:v>团队/协同/信任</x:v>
      </x:c>
      <x:c r="F79" s="24" t="str">
        <x:v>组织化妖怪风险</x:v>
      </x:c>
      <x:c r="G79" s="24" t="str">
        <x:v>分工协同</x:v>
      </x:c>
      <x:c r="H79" s="24" t="str">
        <x:v>青狮、白象、大鹏</x:v>
      </x:c>
      <x:c r="I79" s="24" t="str">
        <x:v>原文第99回明列</x:v>
      </x:c>
      <x:c r="J79" s="24"/>
      <x:c r="K79" s="24"/>
      <x:c r="L79" s="24"/>
      <x:c r="M79" s="24"/>
      <x:c r="N79" s="24"/>
      <x:c r="O79" s="24"/>
    </x:row>
    <x:row r="80">
      <x:c r="A80" s="24" t="n">
        <x:v>63</x:v>
      </x:c>
      <x:c r="B80" s="24" t="str">
        <x:v>城裡遇災</x:v>
      </x:c>
      <x:c r="C80" s="24" t="str">
        <x:v>第76回</x:v>
      </x:c>
      <x:c r="D80" s="24" t="str">
        <x:v>62—77回</x:v>
      </x:c>
      <x:c r="E80" s="24" t="str">
        <x:v>妖怪/战斗风险</x:v>
      </x:c>
      <x:c r="F80" s="24" t="str">
        <x:v>区域性灾难</x:v>
      </x:c>
      <x:c r="G80" s="24" t="str">
        <x:v>妖怪政权</x:v>
      </x:c>
      <x:c r="H80" s="24" t="str">
        <x:v>狮驼国群妖、唐僧师徒</x:v>
      </x:c>
      <x:c r="I80" s="24" t="str">
        <x:v>原文第99回明列</x:v>
      </x:c>
      <x:c r="J80" s="24"/>
      <x:c r="K80" s="24"/>
      <x:c r="L80" s="24"/>
      <x:c r="M80" s="24"/>
      <x:c r="N80" s="24"/>
      <x:c r="O80" s="24"/>
    </x:row>
    <x:row r="81">
      <x:c r="A81" s="24" t="n">
        <x:v>64</x:v>
      </x:c>
      <x:c r="B81" s="24" t="str">
        <x:v>請佛收魔</x:v>
      </x:c>
      <x:c r="C81" s="24" t="str">
        <x:v>第77回</x:v>
      </x:c>
      <x:c r="D81" s="24" t="str">
        <x:v>62—77回</x:v>
      </x:c>
      <x:c r="E81" s="24" t="str">
        <x:v>后台/法宝/收束</x:v>
      </x:c>
      <x:c r="F81" s="24" t="str">
        <x:v>最高系统收束</x:v>
      </x:c>
      <x:c r="G81" s="24" t="str">
        <x:v>后台边界</x:v>
      </x:c>
      <x:c r="H81" s="24" t="str">
        <x:v>如来、文殊、普贤、大鹏</x:v>
      </x:c>
      <x:c r="I81" s="24" t="str">
        <x:v>原文第99回明列</x:v>
      </x:c>
      <x:c r="J81" s="24"/>
      <x:c r="K81" s="24"/>
      <x:c r="L81" s="24"/>
      <x:c r="M81" s="24"/>
      <x:c r="N81" s="24"/>
      <x:c r="O81" s="24"/>
    </x:row>
    <x:row r="82">
      <x:c r="A82" s="24" t="n">
        <x:v>65</x:v>
      </x:c>
      <x:c r="B82" s="24" t="str">
        <x:v>比丘救子</x:v>
      </x:c>
      <x:c r="C82" s="24" t="str">
        <x:v>第78回</x:v>
      </x:c>
      <x:c r="D82" s="24" t="str">
        <x:v>78—90回</x:v>
      </x:c>
      <x:c r="E82" s="24" t="str">
        <x:v>环境/民生/资源</x:v>
      </x:c>
      <x:c r="F82" s="24" t="str">
        <x:v>儿童保护</x:v>
      </x:c>
      <x:c r="G82" s="24" t="str">
        <x:v>宫廷妖惑/害童药方</x:v>
      </x:c>
      <x:c r="H82" s="24" t="str">
        <x:v>白鹿精、狐狸精、比丘国王、悟空</x:v>
      </x:c>
      <x:c r="I82" s="24" t="str">
        <x:v>原文第99回明列</x:v>
      </x:c>
      <x:c r="J82" s="24"/>
      <x:c r="K82" s="24"/>
      <x:c r="L82" s="24"/>
      <x:c r="M82" s="24"/>
      <x:c r="N82" s="24"/>
      <x:c r="O82" s="24"/>
    </x:row>
    <x:row r="83">
      <x:c r="A83" s="24" t="n">
        <x:v>66</x:v>
      </x:c>
      <x:c r="B83" s="24" t="str">
        <x:v>辨認真邪</x:v>
      </x:c>
      <x:c r="C83" s="24" t="str">
        <x:v>第79回</x:v>
      </x:c>
      <x:c r="D83" s="24" t="str">
        <x:v>78—90回</x:v>
      </x:c>
      <x:c r="E83" s="24" t="str">
        <x:v>后台/法宝/收束</x:v>
      </x:c>
      <x:c r="F83" s="24" t="str">
        <x:v>真伪辨识</x:v>
      </x:c>
      <x:c r="G83" s="24" t="str">
        <x:v>坐骑后台</x:v>
      </x:c>
      <x:c r="H83" s="24" t="str">
        <x:v>南极老人、白鹿精、悟空</x:v>
      </x:c>
      <x:c r="I83" s="24" t="str">
        <x:v>原文第99回明列</x:v>
      </x:c>
      <x:c r="J83" s="24"/>
      <x:c r="K83" s="24"/>
      <x:c r="L83" s="24"/>
      <x:c r="M83" s="24"/>
      <x:c r="N83" s="24"/>
      <x:c r="O83" s="24"/>
    </x:row>
    <x:row r="84">
      <x:c r="A84" s="24" t="n">
        <x:v>67</x:v>
      </x:c>
      <x:c r="B84" s="24" t="str">
        <x:v>松林救怪</x:v>
      </x:c>
      <x:c r="C84" s="24" t="str">
        <x:v>第80回</x:v>
      </x:c>
      <x:c r="D84" s="24" t="str">
        <x:v>78—90回</x:v>
      </x:c>
      <x:c r="E84" s="24" t="str">
        <x:v>其他</x:v>
      </x:c>
      <x:c r="F84" s="24" t="str">
        <x:v>慈悲边界</x:v>
      </x:c>
      <x:c r="G84" s="24" t="str">
        <x:v>救助引险</x:v>
      </x:c>
      <x:c r="H84" s="24" t="str">
        <x:v>唐僧、女妖/地涌夫人</x:v>
      </x:c>
      <x:c r="I84" s="24" t="str">
        <x:v>原文第99回明列</x:v>
      </x:c>
      <x:c r="J84" s="24"/>
      <x:c r="K84" s="24"/>
      <x:c r="L84" s="24"/>
      <x:c r="M84" s="24"/>
      <x:c r="N84" s="24"/>
      <x:c r="O84" s="24"/>
    </x:row>
    <x:row r="85">
      <x:c r="A85" s="24" t="n">
        <x:v>68</x:v>
      </x:c>
      <x:c r="B85" s="24" t="str">
        <x:v>僧房臥病</x:v>
      </x:c>
      <x:c r="C85" s="24" t="str">
        <x:v>第81回</x:v>
      </x:c>
      <x:c r="D85" s="24" t="str">
        <x:v>78—90回</x:v>
      </x:c>
      <x:c r="E85" s="24" t="str">
        <x:v>欲望/身体/身份</x:v>
      </x:c>
      <x:c r="F85" s="24" t="str">
        <x:v>身体/诱捕风险</x:v>
      </x:c>
      <x:c r="G85" s="24" t="str">
        <x:v>卧病/摄诱</x:v>
      </x:c>
      <x:c r="H85" s="24" t="str">
        <x:v>唐僧、地涌夫人、悟空</x:v>
      </x:c>
      <x:c r="I85" s="24" t="str">
        <x:v>原文第99回明列</x:v>
      </x:c>
      <x:c r="J85" s="24"/>
      <x:c r="K85" s="24"/>
      <x:c r="L85" s="24"/>
      <x:c r="M85" s="24"/>
      <x:c r="N85" s="24"/>
      <x:c r="O85" s="24"/>
    </x:row>
    <x:row r="86">
      <x:c r="A86" s="24" t="n">
        <x:v>69</x:v>
      </x:c>
      <x:c r="B86" s="24" t="str">
        <x:v>無底洞遭困</x:v>
      </x:c>
      <x:c r="C86" s="24" t="str">
        <x:v>第82—83回</x:v>
      </x:c>
      <x:c r="D86" s="24" t="str">
        <x:v>78—90回</x:v>
      </x:c>
      <x:c r="E86" s="24" t="str">
        <x:v>后台/法宝/收束</x:v>
      </x:c>
      <x:c r="F86" s="24" t="str">
        <x:v>亲属后台风险</x:v>
      </x:c>
      <x:c r="G86" s="24" t="str">
        <x:v>地下困局/身份迷局</x:v>
      </x:c>
      <x:c r="H86" s="24" t="str">
        <x:v>地涌夫人、托塔天王、哪吒</x:v>
      </x:c>
      <x:c r="I86" s="24" t="str">
        <x:v>原文第99回明列</x:v>
      </x:c>
      <x:c r="J86" s="24"/>
      <x:c r="K86" s="24"/>
      <x:c r="L86" s="24"/>
      <x:c r="M86" s="24"/>
      <x:c r="N86" s="24"/>
      <x:c r="O86" s="24"/>
    </x:row>
    <x:row r="87">
      <x:c r="A87" s="24" t="n">
        <x:v>70</x:v>
      </x:c>
      <x:c r="B87" s="24" t="str">
        <x:v>滅法國難行</x:v>
      </x:c>
      <x:c r="C87" s="24" t="str">
        <x:v>第84回</x:v>
      </x:c>
      <x:c r="D87" s="24" t="str">
        <x:v>78—90回</x:v>
      </x:c>
      <x:c r="E87" s="24" t="str">
        <x:v>制度/王权/合法性</x:v>
      </x:c>
      <x:c r="F87" s="24" t="str">
        <x:v>制度性偏见</x:v>
      </x:c>
      <x:c r="G87" s="24" t="str">
        <x:v>政策/身份风险</x:v>
      </x:c>
      <x:c r="H87" s="24" t="str">
        <x:v>灭法国王、唐僧师徒</x:v>
      </x:c>
      <x:c r="I87" s="24" t="str">
        <x:v>原文第99回明列</x:v>
      </x:c>
      <x:c r="J87" s="24"/>
      <x:c r="K87" s="24"/>
      <x:c r="L87" s="24"/>
      <x:c r="M87" s="24"/>
      <x:c r="N87" s="24"/>
      <x:c r="O87" s="24"/>
    </x:row>
    <x:row r="88">
      <x:c r="A88" s="24" t="n">
        <x:v>71</x:v>
      </x:c>
      <x:c r="B88" s="24" t="str">
        <x:v>隱霧山遇魔</x:v>
      </x:c>
      <x:c r="C88" s="24" t="str">
        <x:v>第85—86回</x:v>
      </x:c>
      <x:c r="D88" s="24" t="str">
        <x:v>78—90回</x:v>
      </x:c>
      <x:c r="E88" s="24" t="str">
        <x:v>妖怪/战斗风险</x:v>
      </x:c>
      <x:c r="F88" s="24" t="str">
        <x:v>普通妖怪风险</x:v>
      </x:c>
      <x:c r="G88" s="24" t="str">
        <x:v>山林阻隔</x:v>
      </x:c>
      <x:c r="H88" s="24" t="str">
        <x:v>南山大王/豹子精、悟空、八戒</x:v>
      </x:c>
      <x:c r="I88" s="24" t="str">
        <x:v>原文第99回明列</x:v>
      </x:c>
      <x:c r="J88" s="24"/>
      <x:c r="K88" s="24"/>
      <x:c r="L88" s="24"/>
      <x:c r="M88" s="24"/>
      <x:c r="N88" s="24"/>
      <x:c r="O88" s="24"/>
    </x:row>
    <x:row r="89">
      <x:c r="A89" s="24" t="n">
        <x:v>72</x:v>
      </x:c>
      <x:c r="B89" s="24" t="str">
        <x:v>鳳仙郡求雨</x:v>
      </x:c>
      <x:c r="C89" s="24" t="str">
        <x:v>第87回</x:v>
      </x:c>
      <x:c r="D89" s="24" t="str">
        <x:v>78—90回</x:v>
      </x:c>
      <x:c r="E89" s="24" t="str">
        <x:v>环境/民生/资源</x:v>
      </x:c>
      <x:c r="F89" s="24" t="str">
        <x:v>天灾治理</x:v>
      </x:c>
      <x:c r="G89" s="24" t="str">
        <x:v>德政/天庭规则</x:v>
      </x:c>
      <x:c r="H89" s="24" t="str">
        <x:v>凤仙郡侯、玉帝、悟空、雷部</x:v>
      </x:c>
      <x:c r="I89" s="24" t="str">
        <x:v>原文第99回明列</x:v>
      </x:c>
      <x:c r="J89" s="24"/>
      <x:c r="K89" s="24"/>
      <x:c r="L89" s="24"/>
      <x:c r="M89" s="24"/>
      <x:c r="N89" s="24"/>
      <x:c r="O89" s="24"/>
    </x:row>
    <x:row r="90">
      <x:c r="A90" s="24" t="n">
        <x:v>73</x:v>
      </x:c>
      <x:c r="B90" s="24" t="str">
        <x:v>失落兵器</x:v>
      </x:c>
      <x:c r="C90" s="24" t="str">
        <x:v>第88—89回</x:v>
      </x:c>
      <x:c r="D90" s="24" t="str">
        <x:v>78—90回</x:v>
      </x:c>
      <x:c r="E90" s="24" t="str">
        <x:v>环境/民生/资源</x:v>
      </x:c>
      <x:c r="F90" s="24" t="str">
        <x:v>资源外泄</x:v>
      </x:c>
      <x:c r="G90" s="24" t="str">
        <x:v>关键兵器被盗</x:v>
      </x:c>
      <x:c r="H90" s="24" t="str">
        <x:v>黄狮精、悟空、八戒、沙僧</x:v>
      </x:c>
      <x:c r="I90" s="24" t="str">
        <x:v>原文第99回明列</x:v>
      </x:c>
      <x:c r="J90" s="24"/>
      <x:c r="K90" s="24"/>
      <x:c r="L90" s="24"/>
      <x:c r="M90" s="24"/>
      <x:c r="N90" s="24"/>
      <x:c r="O90" s="24"/>
    </x:row>
    <x:row r="91">
      <x:c r="A91" s="24" t="n">
        <x:v>74</x:v>
      </x:c>
      <x:c r="B91" s="24" t="str">
        <x:v>會慶釘鈀</x:v>
      </x:c>
      <x:c r="C91" s="24" t="str">
        <x:v>第89回</x:v>
      </x:c>
      <x:c r="D91" s="24" t="str">
        <x:v>78—90回</x:v>
      </x:c>
      <x:c r="E91" s="24" t="str">
        <x:v>环境/民生/资源</x:v>
      </x:c>
      <x:c r="F91" s="24" t="str">
        <x:v>资源外泄</x:v>
      </x:c>
      <x:c r="G91" s="24" t="str">
        <x:v>资产展示/宴会风险</x:v>
      </x:c>
      <x:c r="H91" s="24" t="str">
        <x:v>黄狮精、三徒兵器</x:v>
      </x:c>
      <x:c r="I91" s="24" t="str">
        <x:v>原文第99回明列</x:v>
      </x:c>
      <x:c r="J91" s="24"/>
      <x:c r="K91" s="24"/>
      <x:c r="L91" s="24"/>
      <x:c r="M91" s="24"/>
      <x:c r="N91" s="24"/>
      <x:c r="O91" s="24"/>
    </x:row>
    <x:row r="92">
      <x:c r="A92" s="24" t="n">
        <x:v>75</x:v>
      </x:c>
      <x:c r="B92" s="24" t="str">
        <x:v>竹節山遭難</x:v>
      </x:c>
      <x:c r="C92" s="24" t="str">
        <x:v>第90回</x:v>
      </x:c>
      <x:c r="D92" s="24" t="str">
        <x:v>78—90回</x:v>
      </x:c>
      <x:c r="E92" s="24" t="str">
        <x:v>后台/法宝/收束</x:v>
      </x:c>
      <x:c r="F92" s="24" t="str">
        <x:v>高阶后台风险</x:v>
      </x:c>
      <x:c r="G92" s="24" t="str">
        <x:v>九头摄伏</x:v>
      </x:c>
      <x:c r="H92" s="24" t="str">
        <x:v>九灵元圣、太乙救苦天尊</x:v>
      </x:c>
      <x:c r="I92" s="24" t="str">
        <x:v>原文第99回明列</x:v>
      </x:c>
      <x:c r="J92" s="24"/>
      <x:c r="K92" s="24"/>
      <x:c r="L92" s="24"/>
      <x:c r="M92" s="24"/>
      <x:c r="N92" s="24"/>
      <x:c r="O92" s="24"/>
    </x:row>
    <x:row r="93">
      <x:c r="A93" s="24" t="n">
        <x:v>76</x:v>
      </x:c>
      <x:c r="B93" s="24" t="str">
        <x:v>玄英洞受苦</x:v>
      </x:c>
      <x:c r="C93" s="24" t="str">
        <x:v>第91—92回</x:v>
      </x:c>
      <x:c r="D93" s="24" t="str">
        <x:v>91—100回</x:v>
      </x:c>
      <x:c r="E93" s="24" t="str">
        <x:v>制度/王权/合法性</x:v>
      </x:c>
      <x:c r="F93" s="24" t="str">
        <x:v>祭祀经济风险</x:v>
      </x:c>
      <x:c r="G93" s="24" t="str">
        <x:v>假神供奉</x:v>
      </x:c>
      <x:c r="H93" s="24" t="str">
        <x:v>三犀牛怪、金平府僧众</x:v>
      </x:c>
      <x:c r="I93" s="24" t="str">
        <x:v>原文第99回明列</x:v>
      </x:c>
      <x:c r="J93" s="24"/>
      <x:c r="K93" s="24"/>
      <x:c r="L93" s="24"/>
      <x:c r="M93" s="24"/>
      <x:c r="N93" s="24"/>
      <x:c r="O93" s="24"/>
    </x:row>
    <x:row r="94">
      <x:c r="A94" s="24" t="n">
        <x:v>77</x:v>
      </x:c>
      <x:c r="B94" s="24" t="str">
        <x:v>趕捉犀牛</x:v>
      </x:c>
      <x:c r="C94" s="24" t="str">
        <x:v>第92回</x:v>
      </x:c>
      <x:c r="D94" s="24" t="str">
        <x:v>91—100回</x:v>
      </x:c>
      <x:c r="E94" s="24" t="str">
        <x:v>后台/法宝/收束</x:v>
      </x:c>
      <x:c r="F94" s="24" t="str">
        <x:v>专业克制</x:v>
      </x:c>
      <x:c r="G94" s="24" t="str">
        <x:v>外部专业系统</x:v>
      </x:c>
      <x:c r="H94" s="24" t="str">
        <x:v>四木禽星、悟空、三犀牛</x:v>
      </x:c>
      <x:c r="I94" s="24" t="str">
        <x:v>原文第99回明列</x:v>
      </x:c>
      <x:c r="J94" s="24"/>
      <x:c r="K94" s="24"/>
      <x:c r="L94" s="24"/>
      <x:c r="M94" s="24"/>
      <x:c r="N94" s="24"/>
      <x:c r="O94" s="24"/>
    </x:row>
    <x:row r="95">
      <x:c r="A95" s="24" t="n">
        <x:v>78</x:v>
      </x:c>
      <x:c r="B95" s="24" t="str">
        <x:v>天竺招婚</x:v>
      </x:c>
      <x:c r="C95" s="24" t="str">
        <x:v>第93—95回</x:v>
      </x:c>
      <x:c r="D95" s="24" t="str">
        <x:v>91—100回</x:v>
      </x:c>
      <x:c r="E95" s="24" t="str">
        <x:v>欲望/身体/身份</x:v>
      </x:c>
      <x:c r="F95" s="24" t="str">
        <x:v>身份替换风险</x:v>
      </x:c>
      <x:c r="G95" s="24" t="str">
        <x:v>婚姻/权力嵌入</x:v>
      </x:c>
      <x:c r="H95" s="24" t="str">
        <x:v>玉兔精、真公主、太阴星君、唐僧</x:v>
      </x:c>
      <x:c r="I95" s="24" t="str">
        <x:v>原文第99回明列</x:v>
      </x:c>
      <x:c r="J95" s="24"/>
      <x:c r="K95" s="24"/>
      <x:c r="L95" s="24"/>
      <x:c r="M95" s="24"/>
      <x:c r="N95" s="24"/>
      <x:c r="O95" s="24"/>
    </x:row>
    <x:row r="96">
      <x:c r="A96" s="24" t="n">
        <x:v>79</x:v>
      </x:c>
      <x:c r="B96" s="24" t="str">
        <x:v>銅臺府監禁</x:v>
      </x:c>
      <x:c r="C96" s="24" t="str">
        <x:v>第96—97回</x:v>
      </x:c>
      <x:c r="D96" s="24" t="str">
        <x:v>91—100回</x:v>
      </x:c>
      <x:c r="E96" s="24" t="str">
        <x:v>制度/王权/合法性</x:v>
      </x:c>
      <x:c r="F96" s="24" t="str">
        <x:v>冤案/司法风险</x:v>
      </x:c>
      <x:c r="G96" s="24" t="str">
        <x:v>监禁/误判</x:v>
      </x:c>
      <x:c r="H96" s="24" t="str">
        <x:v>寇员外、强盗、唐僧师徒</x:v>
      </x:c>
      <x:c r="I96" s="24" t="str">
        <x:v>原文第99回明列</x:v>
      </x:c>
      <x:c r="J96" s="24"/>
      <x:c r="K96" s="24"/>
      <x:c r="L96" s="24"/>
      <x:c r="M96" s="24"/>
      <x:c r="N96" s="24"/>
      <x:c r="O96" s="24"/>
    </x:row>
    <x:row r="97">
      <x:c r="A97" s="24" t="n">
        <x:v>80</x:v>
      </x:c>
      <x:c r="B97" s="24" t="str">
        <x:v>凌雲渡脫胎</x:v>
      </x:c>
      <x:c r="C97" s="24" t="str">
        <x:v>第98回</x:v>
      </x:c>
      <x:c r="D97" s="24" t="str">
        <x:v>91—100回</x:v>
      </x:c>
      <x:c r="E97" s="24" t="str">
        <x:v>欲望/身体/身份</x:v>
      </x:c>
      <x:c r="F97" s="24" t="str">
        <x:v>成果转化</x:v>
      </x:c>
      <x:c r="G97" s="24" t="str">
        <x:v>脱胎/身份变化</x:v>
      </x:c>
      <x:c r="H97" s="24" t="str">
        <x:v>唐僧、悟空、灵山系统</x:v>
      </x:c>
      <x:c r="I97" s="24" t="str">
        <x:v>原文第99回明列</x:v>
      </x:c>
      <x:c r="J97" s="24"/>
      <x:c r="K97" s="24"/>
      <x:c r="L97" s="24"/>
      <x:c r="M97" s="24"/>
      <x:c r="N97" s="24"/>
      <x:c r="O97" s="24"/>
    </x:row>
    <x:row r="98">
      <x:c r="A98" s="24" t="n">
        <x:v>81</x:v>
      </x:c>
      <x:c r="B98" s="24" t="str">
        <x:v>補足一難：老黿淬水/經卷落水</x:v>
      </x:c>
      <x:c r="C98" s="24" t="str">
        <x:v>第99回</x:v>
      </x:c>
      <x:c r="D98" s="24" t="str">
        <x:v>91—100回</x:v>
      </x:c>
      <x:c r="E98" s="24" t="str">
        <x:v>心性/因果/成果</x:v>
      </x:c>
      <x:c r="F98" s="24" t="str">
        <x:v>收官补难</x:v>
      </x:c>
      <x:c r="G98" s="24" t="str">
        <x:v>承诺未尽/成果保护</x:v>
      </x:c>
      <x:c r="H98" s="24" t="str">
        <x:v>老鼋、唐僧师徒、经卷</x:v>
      </x:c>
      <x:c r="I98" s="24" t="str">
        <x:v>据第99回情节补足</x:v>
      </x:c>
      <x:c r="J98" s="24"/>
      <x:c r="K98" s="24"/>
      <x:c r="L98" s="24"/>
      <x:c r="M98" s="24"/>
      <x:c r="N98" s="24"/>
      <x:c r="O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</x:row>
  </x:sheetData>
  <x:mergeCells>
    <x:mergeCell ref="A1:K1"/>
  </x:mergeCells>
  <x:conditionalFormatting sqref="C5:J12">
    <x:cfRule type="colorScale" priority="1">
      <x:colorScale>
        <x:cfvo type="min"/>
        <x:cfvo type="percentile" val="50"/>
        <x:cfvo type="max"/>
        <x:color rgb="F8FAFC"/>
        <x:color rgb="FEF3C7"/>
        <x:color rgb="FED7AA"/>
      </x:colorScale>
    </x:cfRule>
  </x:conditionalFormatting>
  <x:pageMargins left="0.7" right="0.7" top="0.75" bottom="0.75" header="0.3" footer="0.3"/>
  <x:drawing xmlns:r="http://schemas.openxmlformats.org/officeDocument/2006/relationships" r:id="R0ce73aec8fa8454e"/>
  <x:tableParts count="3">
    <x:tablePart xmlns:r="http://schemas.openxmlformats.org/officeDocument/2006/relationships" r:id="Rf01be89fc71f41d5"/>
    <x:tablePart xmlns:r="http://schemas.openxmlformats.org/officeDocument/2006/relationships" r:id="R74eaa65366524535"/>
    <x:tablePart xmlns:r="http://schemas.openxmlformats.org/officeDocument/2006/relationships" r:id="R6b21e29fdcb442e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2" hidden="0" customWidth="1"/>
    <x:col min="5" max="5" width="10" hidden="0" customWidth="1"/>
    <x:col min="6" max="6" width="28" hidden="0" customWidth="1"/>
    <x:col min="7" max="7" width="4" hidden="0" customWidth="1"/>
    <x:col min="8" max="8" width="20" hidden="0" customWidth="1"/>
    <x:col min="9" max="9" width="10" hidden="0" customWidth="1"/>
    <x:col min="10" max="10" width="10" hidden="0" customWidth="1"/>
    <x:col min="11" max="11" width="4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8" customHeight="1">
      <x:c r="A1" s="153" t="str">
        <x:v>《再读西游》V2.3 可视化看板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 ht="34" customHeight="1">
      <x:c r="A2" s="142" t="str">
        <x:v>本看板汇总全书数据底座可视化进度：从表格进入图谱、矩阵、热力图。</x:v>
      </x:c>
      <x:c r="B2" s="142"/>
      <x:c r="C2" s="142"/>
      <x:c r="D2" s="142"/>
      <x:c r="E2" s="142"/>
      <x:c r="F2" s="142"/>
      <x:c r="G2" s="142"/>
      <x:c r="H2" s="142"/>
      <x:c r="I2" s="142"/>
      <x:c r="J2" s="142"/>
      <x:c r="K2" s="142"/>
      <x:c r="L2" s="142"/>
      <x:c r="M2" s="142"/>
      <x:c r="N2" s="142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147" t="str">
        <x:v>已覆盖回目</x:v>
      </x:c>
      <x:c r="B4" s="147"/>
      <x:c r="C4" s="147" t="str">
        <x:v>正式八十一难</x:v>
      </x:c>
      <x:c r="D4" s="147"/>
      <x:c r="E4" s="147" t="str">
        <x:v>人物关系边</x:v>
      </x:c>
      <x:c r="F4" s="147"/>
      <x:c r="G4" s="147" t="str">
        <x:v>图谱节点</x:v>
      </x:c>
      <x:c r="H4" s="147"/>
      <x:c r="I4" s="24"/>
      <x:c r="J4" s="24"/>
      <x:c r="K4" s="24"/>
      <x:c r="L4" s="24"/>
      <x:c r="M4" s="24"/>
      <x:c r="N4" s="24"/>
    </x:row>
    <x:row r="5">
      <x:c r="A5" s="160" t="n">
        <x:v>100</x:v>
      </x:c>
      <x:c r="B5" s="160" t="str">
        <x:v>第1—100回</x:v>
      </x:c>
      <x:c r="C5" s="160" t="n">
        <x:v>81</x:v>
      </x:c>
      <x:c r="D5" s="160" t="str">
        <x:v>据第99回难簿校核</x:v>
      </x:c>
      <x:c r="E5" s="160" t="n">
        <x:v>172</x:v>
      </x:c>
      <x:c r="F5" s="160" t="str">
        <x:v>来自05_人物关系表</x:v>
      </x:c>
      <x:c r="G5" s="160" t="n">
        <x:v>80</x:v>
      </x:c>
      <x:c r="H5" s="160" t="str">
        <x:v>按人物/系统自动汇总</x:v>
      </x:c>
      <x:c r="I5" s="24"/>
      <x:c r="J5" s="24"/>
      <x:c r="K5" s="24"/>
      <x:c r="L5" s="24"/>
      <x:c r="M5" s="24"/>
      <x:c r="N5" s="24"/>
    </x:row>
    <x:row r="6">
      <x:c r="A6" s="147" t="str">
        <x:v>后台风险样本</x:v>
      </x:c>
      <x:c r="B6" s="147"/>
      <x:c r="C6" s="147" t="str">
        <x:v>专题证据链</x:v>
      </x:c>
      <x:c r="D6" s="147"/>
      <x:c r="E6" s="147" t="str">
        <x:v>主题大类</x:v>
      </x:c>
      <x:c r="F6" s="147"/>
      <x:c r="G6" s="147" t="str">
        <x:v>新增可视化表</x:v>
      </x:c>
      <x:c r="H6" s="147"/>
      <x:c r="I6" s="24"/>
      <x:c r="J6" s="24"/>
      <x:c r="K6" s="24"/>
      <x:c r="L6" s="24"/>
      <x:c r="M6" s="24"/>
      <x:c r="N6" s="24"/>
    </x:row>
    <x:row r="7">
      <x:c r="A7" s="160" t="n">
        <x:v>39</x:v>
      </x:c>
      <x:c r="B7" s="160" t="str">
        <x:v>来自08_后台妖怪表</x:v>
      </x:c>
      <x:c r="C7" s="160" t="n">
        <x:v>29</x:v>
      </x:c>
      <x:c r="D7" s="160" t="str">
        <x:v>V2.2专题摘录</x:v>
      </x:c>
      <x:c r="E7" s="160" t="n">
        <x:v>8</x:v>
      </x:c>
      <x:c r="F7" s="160" t="str">
        <x:v>热力图归并</x:v>
      </x:c>
      <x:c r="G7" s="160" t="n">
        <x:v>4</x:v>
      </x:c>
      <x:c r="H7" s="160" t="str">
        <x:v>15—18号工作表</x:v>
      </x:c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147" t="str">
        <x:v>Top节点关系度数</x:v>
      </x:c>
      <x:c r="B10" s="147"/>
      <x:c r="C10" s="24"/>
      <x:c r="D10" s="147" t="str">
        <x:v>后台风险类型</x:v>
      </x:c>
      <x:c r="E10" s="147"/>
      <x:c r="F10" s="147"/>
      <x:c r="G10" s="24"/>
      <x:c r="H10" s="147" t="str">
        <x:v>主题大类分布</x:v>
      </x:c>
      <x:c r="I10" s="147"/>
      <x:c r="J10" s="147"/>
      <x:c r="K10" s="24"/>
      <x:c r="L10" s="24"/>
      <x:c r="M10" s="24"/>
      <x:c r="N10" s="24"/>
    </x:row>
    <x:row r="11">
      <x:c r="A11" s="152" t="str">
        <x:v>节点</x:v>
      </x:c>
      <x:c r="B11" s="152" t="str">
        <x:v>关系度数</x:v>
      </x:c>
      <x:c r="C11" s="24"/>
      <x:c r="D11" s="152" t="str">
        <x:v>风险类型归并</x:v>
      </x:c>
      <x:c r="E11" s="152" t="str">
        <x:v>样本数</x:v>
      </x:c>
      <x:c r="F11" s="152" t="str">
        <x:v>解读</x:v>
      </x:c>
      <x:c r="G11" s="24"/>
      <x:c r="H11" s="152" t="str">
        <x:v>主题大类</x:v>
      </x:c>
      <x:c r="I11" s="152" t="str">
        <x:v>难数</x:v>
      </x:c>
      <x:c r="J11" s="152" t="str">
        <x:v>占比</x:v>
      </x:c>
      <x:c r="K11" s="24"/>
      <x:c r="L11" s="24"/>
      <x:c r="M11" s="24"/>
      <x:c r="N11" s="24"/>
    </x:row>
    <x:row r="12">
      <x:c r="A12" s="24" t="str">
        <x:v>孙悟空</x:v>
      </x:c>
      <x:c r="B12" s="24" t="n">
        <x:v>48</x:v>
      </x:c>
      <x:c r="C12" s="24"/>
      <x:c r="D12" s="24" t="str">
        <x:v>佛门/菩萨/星君后台</x:v>
      </x:c>
      <x:c r="E12" s="24" t="n">
        <x:v>17</x:v>
      </x:c>
      <x:c r="F12" s="24" t="str">
        <x:v>用于后台妖怪矩阵和专题写作分组。</x:v>
      </x:c>
      <x:c r="G12" s="24"/>
      <x:c r="H12" s="24" t="str">
        <x:v>后台/法宝/收束</x:v>
      </x:c>
      <x:c r="I12" s="24" t="n">
        <x:v>19</x:v>
      </x:c>
      <x:c r="J12" s="155" t="n">
        <x:v>0.2345679012345679</x:v>
      </x:c>
      <x:c r="K12" s="24"/>
      <x:c r="L12" s="24"/>
      <x:c r="M12" s="24"/>
      <x:c r="N12" s="24"/>
    </x:row>
    <x:row r="13">
      <x:c r="A13" s="24" t="str">
        <x:v>唐僧</x:v>
      </x:c>
      <x:c r="B13" s="24" t="n">
        <x:v>27</x:v>
      </x:c>
      <x:c r="C13" s="24"/>
      <x:c r="D13" s="24" t="str">
        <x:v>王权/制度寄生</x:v>
      </x:c>
      <x:c r="E13" s="24" t="n">
        <x:v>7</x:v>
      </x:c>
      <x:c r="F13" s="24" t="str">
        <x:v>用于后台妖怪矩阵和专题写作分组。</x:v>
      </x:c>
      <x:c r="G13" s="24"/>
      <x:c r="H13" s="24" t="str">
        <x:v>环境/民生/资源</x:v>
      </x:c>
      <x:c r="I13" s="24" t="n">
        <x:v>16</x:v>
      </x:c>
      <x:c r="J13" s="155" t="n">
        <x:v>0.19753086419753085</x:v>
      </x:c>
      <x:c r="K13" s="24"/>
      <x:c r="L13" s="24"/>
      <x:c r="M13" s="24"/>
      <x:c r="N13" s="24"/>
    </x:row>
    <x:row r="14">
      <x:c r="A14" s="24" t="str">
        <x:v>观音</x:v>
      </x:c>
      <x:c r="B14" s="24" t="n">
        <x:v>15</x:v>
      </x:c>
      <x:c r="C14" s="24"/>
      <x:c r="D14" s="24" t="str">
        <x:v>家族/亲属/龙族后台</x:v>
      </x:c>
      <x:c r="E14" s="24" t="n">
        <x:v>5</x:v>
      </x:c>
      <x:c r="F14" s="24" t="str">
        <x:v>用于后台妖怪矩阵和专题写作分组。</x:v>
      </x:c>
      <x:c r="G14" s="24"/>
      <x:c r="H14" s="24" t="str">
        <x:v>制度/王权/合法性</x:v>
      </x:c>
      <x:c r="I14" s="24" t="n">
        <x:v>11</x:v>
      </x:c>
      <x:c r="J14" s="155" t="n">
        <x:v>0.13580246913580246</x:v>
      </x:c>
      <x:c r="K14" s="24"/>
      <x:c r="L14" s="24"/>
      <x:c r="M14" s="24"/>
      <x:c r="N14" s="24"/>
    </x:row>
    <x:row r="15">
      <x:c r="A15" s="24" t="str">
        <x:v>猪八戒</x:v>
      </x:c>
      <x:c r="B15" s="24" t="n">
        <x:v>14</x:v>
      </x:c>
      <x:c r="C15" s="24"/>
      <x:c r="D15" s="24" t="str">
        <x:v>其他/复合型</x:v>
      </x:c>
      <x:c r="E15" s="24" t="n">
        <x:v>5</x:v>
      </x:c>
      <x:c r="F15" s="24" t="str">
        <x:v>用于后台妖怪矩阵和专题写作分组。</x:v>
      </x:c>
      <x:c r="G15" s="24"/>
      <x:c r="H15" s="24" t="str">
        <x:v>欲望/身体/身份</x:v>
      </x:c>
      <x:c r="I15" s="24" t="n">
        <x:v>11</x:v>
      </x:c>
      <x:c r="J15" s="155" t="n">
        <x:v>0.13580246913580246</x:v>
      </x:c>
      <x:c r="K15" s="24"/>
      <x:c r="L15" s="24"/>
      <x:c r="M15" s="24"/>
      <x:c r="N15" s="24"/>
    </x:row>
    <x:row r="16">
      <x:c r="A16" s="24" t="str">
        <x:v>如来</x:v>
      </x:c>
      <x:c r="B16" s="24" t="n">
        <x:v>7</x:v>
      </x:c>
      <x:c r="C16" s="24"/>
      <x:c r="D16" s="24" t="str">
        <x:v>天庭/道教后台</x:v>
      </x:c>
      <x:c r="E16" s="24" t="n">
        <x:v>4</x:v>
      </x:c>
      <x:c r="F16" s="24" t="str">
        <x:v>用于后台妖怪矩阵和专题写作分组。</x:v>
      </x:c>
      <x:c r="G16" s="24"/>
      <x:c r="H16" s="24" t="str">
        <x:v>团队/协同/信任</x:v>
      </x:c>
      <x:c r="I16" s="24" t="n">
        <x:v>10</x:v>
      </x:c>
      <x:c r="J16" s="155" t="n">
        <x:v>0.12345679012345678</x:v>
      </x:c>
      <x:c r="K16" s="24"/>
      <x:c r="L16" s="24"/>
      <x:c r="M16" s="24"/>
      <x:c r="N16" s="24"/>
    </x:row>
    <x:row r="17">
      <x:c r="A17" s="24" t="str">
        <x:v>唐僧师徒</x:v>
      </x:c>
      <x:c r="B17" s="24" t="n">
        <x:v>6</x:v>
      </x:c>
      <x:c r="C17" s="24"/>
      <x:c r="D17" s="24" t="str">
        <x:v>非后台高风险</x:v>
      </x:c>
      <x:c r="E17" s="24" t="n">
        <x:v>1</x:v>
      </x:c>
      <x:c r="F17" s="24" t="str">
        <x:v>用于后台妖怪矩阵和专题写作分组。</x:v>
      </x:c>
      <x:c r="G17" s="24"/>
      <x:c r="H17" s="24" t="str">
        <x:v>其他</x:v>
      </x:c>
      <x:c r="I17" s="24" t="n">
        <x:v>7</x:v>
      </x:c>
      <x:c r="J17" s="155" t="n">
        <x:v>0.08641975308641975</x:v>
      </x:c>
      <x:c r="K17" s="24"/>
      <x:c r="L17" s="24"/>
      <x:c r="M17" s="24"/>
      <x:c r="N17" s="24"/>
    </x:row>
    <x:row r="18">
      <x:c r="A18" s="24" t="str">
        <x:v>红孩儿</x:v>
      </x:c>
      <x:c r="B18" s="24" t="n">
        <x:v>5</x:v>
      </x:c>
      <x:c r="C18" s="24"/>
      <x:c r="D18" s="24"/>
      <x:c r="E18" s="24"/>
      <x:c r="F18" s="24"/>
      <x:c r="G18" s="24"/>
      <x:c r="H18" s="24" t="str">
        <x:v>妖怪/战斗风险</x:v>
      </x:c>
      <x:c r="I18" s="24" t="n">
        <x:v>5</x:v>
      </x:c>
      <x:c r="J18" s="155" t="n">
        <x:v>0.06172839506172839</x:v>
      </x:c>
      <x:c r="K18" s="24"/>
      <x:c r="L18" s="24"/>
      <x:c r="M18" s="24"/>
      <x:c r="N18" s="24"/>
    </x:row>
    <x:row r="19">
      <x:c r="A19" s="24" t="str">
        <x:v>牛魔王</x:v>
      </x:c>
      <x:c r="B19" s="24" t="n">
        <x:v>5</x:v>
      </x:c>
      <x:c r="C19" s="24"/>
      <x:c r="D19" s="24"/>
      <x:c r="E19" s="24"/>
      <x:c r="F19" s="24"/>
      <x:c r="G19" s="24"/>
      <x:c r="H19" s="24" t="str">
        <x:v>心性/因果/成果</x:v>
      </x:c>
      <x:c r="I19" s="24" t="n">
        <x:v>2</x:v>
      </x:c>
      <x:c r="J19" s="155" t="n">
        <x:v>0.024691358024691357</x:v>
      </x:c>
      <x:c r="K19" s="24"/>
      <x:c r="L19" s="24"/>
      <x:c r="M19" s="24"/>
      <x:c r="N19" s="24"/>
    </x:row>
    <x:row r="20">
      <x:c r="A20" s="24" t="str">
        <x:v>地涌夫人</x:v>
      </x:c>
      <x:c r="B20" s="24" t="n">
        <x:v>5</x:v>
      </x:c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 t="str">
        <x:v>沙悟净</x:v>
      </x:c>
      <x:c r="B21" s="24" t="n">
        <x:v>4</x:v>
      </x:c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147" t="str">
        <x:v>后续路线</x:v>
      </x:c>
      <x:c r="B25" s="147"/>
      <x:c r="C25" s="147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152" t="str">
        <x:v>下一步建议</x:v>
      </x:c>
      <x:c r="B26" s="152" t="str">
        <x:v>具体动作</x:v>
      </x:c>
      <x:c r="C26" s="152" t="str">
        <x:v>产出</x:v>
      </x:c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 t="str">
        <x:v>V2.4 图谱HTML/PWA升级</x:v>
      </x:c>
      <x:c r="B27" s="24" t="str">
        <x:v>把15—17号表转成前端JSON，接入《再读西游》页面。</x:v>
      </x:c>
      <x:c r="C27" s="24" t="str">
        <x:v>交互图谱+筛选器</x:v>
      </x:c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 t="str">
        <x:v>V2.5 八十一难正式校注版</x:v>
      </x:c>
      <x:c r="B28" s="24" t="str">
        <x:v>逐条补第99回难簿与对应回目原文。</x:v>
      </x:c>
      <x:c r="C28" s="24" t="str">
        <x:v>81难证据库</x:v>
      </x:c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 t="str">
        <x:v>专题文章一</x:v>
      </x:c>
      <x:c r="B29" s="24" t="str">
        <x:v>先写《三打白骨精：专业判断为何输给表象与内部噪声》。</x:v>
      </x:c>
      <x:c r="C29" s="24" t="str">
        <x:v>公众号/长文</x:v>
      </x:c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 t="str">
        <x:v>专题文章二</x:v>
      </x:c>
      <x:c r="B30" s="24" t="str">
        <x:v>写《有后台的妖怪：从坐骑、童子到亲属系统》。</x:v>
      </x:c>
      <x:c r="C30" s="24" t="str">
        <x:v>专题报告</x:v>
      </x:c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 t="str">
        <x:v>成果发布包</x:v>
      </x:c>
      <x:c r="B31" s="24" t="str">
        <x:v>HTML/PWA + Excel底座 + 图谱PNG + 公众号十题目录。</x:v>
      </x:c>
      <x:c r="C31" s="24" t="str">
        <x:v>可传播成果包</x:v>
      </x:c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a6039915c5974725"/>
  <x:tableParts count="4">
    <x:tablePart xmlns:r="http://schemas.openxmlformats.org/officeDocument/2006/relationships" r:id="Rb492d6366ad64b0d"/>
    <x:tablePart xmlns:r="http://schemas.openxmlformats.org/officeDocument/2006/relationships" r:id="Rf70052562f294f75"/>
    <x:tablePart xmlns:r="http://schemas.openxmlformats.org/officeDocument/2006/relationships" r:id="R0cea9a94fe6f4a4b"/>
    <x:tablePart xmlns:r="http://schemas.openxmlformats.org/officeDocument/2006/relationships" r:id="R425e5af1c59b4688"/>
  </x:tableParts>
</x:worksheet>
</file>

<file path=xl/worksheets/sheet20.xml><?xml version="1.0" encoding="utf-8"?>
<x:worksheet xmlns:x="http://schemas.openxmlformats.org/spreadsheetml/2006/main">
  <x:sheetFormatPr defaultRowHeight="15"/>
  <x:cols>
    <x:col min="2" max="2" width="10" hidden="0" customWidth="1"/>
    <x:col min="4" max="4" width="36" hidden="0" customWidth="1"/>
    <x:col min="1" max="1" width="20" hidden="0" customWidth="1"/>
    <x:col min="3" max="3" width="10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185" t="str">
        <x:v>《再读西游》V2.5 八十一难正式校注看板</x:v>
      </x:c>
      <x:c r="B1" s="186"/>
      <x:c r="C1" s="186"/>
      <x:c r="D1" s="186"/>
      <x:c r="E1" s="186"/>
      <x:c r="F1" s="186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6"/>
      <x:c r="B2" s="186"/>
      <x:c r="C2" s="186"/>
      <x:c r="D2" s="186"/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87" t="str">
        <x:v>版本</x:v>
      </x:c>
      <x:c r="B3" s="188" t="str">
        <x:v>V2.5</x:v>
      </x:c>
      <x:c r="C3" s="187" t="str">
        <x:v>定位</x:v>
      </x:c>
      <x:c r="D3" s="188" t="str">
        <x:v>八十一难正式校注版</x:v>
      </x:c>
      <x:c r="E3" s="186"/>
      <x:c r="F3" s="189" t="str">
        <x:v>后续优先补证专题</x:v>
      </x:c>
      <x:c r="G3" s="189" t="str">
        <x:v>对应难次</x:v>
      </x:c>
      <x:c r="H3" s="189" t="str">
        <x:v>说明</x:v>
      </x:c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7" t="str">
        <x:v>正式难数</x:v>
      </x:c>
      <x:c r="B4" s="188" t="n">
        <x:v>81</x:v>
      </x:c>
      <x:c r="C4" s="187" t="str">
        <x:v>第99回明列</x:v>
      </x:c>
      <x:c r="D4" s="188" t="n">
        <x:v>80</x:v>
      </x:c>
      <x:c r="E4" s="186"/>
      <x:c r="F4" s="188" t="str">
        <x:v>三打白骨精/贬退心猿</x:v>
      </x:c>
      <x:c r="G4" s="188" t="str">
        <x:v>20</x:v>
      </x:c>
      <x:c r="H4" s="188" t="str">
        <x:v>领导误判、内部噪声、核心人才离队</x:v>
      </x:c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7" t="str">
        <x:v>补足一难</x:v>
      </x:c>
      <x:c r="B5" s="188" t="n">
        <x:v>1</x:v>
      </x:c>
      <x:c r="C5" s="187" t="str">
        <x:v>原文依据</x:v>
      </x:c>
      <x:c r="D5" s="188" t="str">
        <x:v>老鼋沉经/经湿补难</x:v>
      </x:c>
      <x:c r="E5" s="186"/>
      <x:c r="F5" s="188" t="str">
        <x:v>真假美猴王</x:v>
      </x:c>
      <x:c r="G5" s="188" t="str">
        <x:v>45—46</x:v>
      </x:c>
      <x:c r="H5" s="188" t="str">
        <x:v>二心、身份复制、终裁机制</x:v>
      </x:c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7" t="str">
        <x:v>覆盖字段</x:v>
      </x:c>
      <x:c r="B6" s="188" t="n">
        <x:v>13</x:v>
      </x:c>
      <x:c r="C6" s="187" t="str">
        <x:v>新增工作表</x:v>
      </x:c>
      <x:c r="D6" s="188" t="str">
        <x:v>19、20、21</x:v>
      </x:c>
      <x:c r="E6" s="186"/>
      <x:c r="F6" s="188" t="str">
        <x:v>小雷音寺</x:v>
      </x:c>
      <x:c r="G6" s="188" t="str">
        <x:v>53—54</x:v>
      </x:c>
      <x:c r="H6" s="188" t="str">
        <x:v>假权威、法宝压制、弥勒收束</x:v>
      </x:c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7" t="str">
        <x:v>核心用途</x:v>
      </x:c>
      <x:c r="B7" s="188" t="str">
        <x:v>写作证据、网页检索、图谱主题校核</x:v>
      </x:c>
      <x:c r="C7" s="187" t="str">
        <x:v>下一步</x:v>
      </x:c>
      <x:c r="D7" s="188" t="str">
        <x:v>V2.6 原文摘录二次补证</x:v>
      </x:c>
      <x:c r="E7" s="186"/>
      <x:c r="F7" s="188" t="str">
        <x:v>狮驼岭</x:v>
      </x:c>
      <x:c r="G7" s="188" t="str">
        <x:v>61—64</x:v>
      </x:c>
      <x:c r="H7" s="188" t="str">
        <x:v>组织化妖怪、极端风险、最高系统收束</x:v>
      </x:c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6"/>
      <x:c r="B8" s="186"/>
      <x:c r="C8" s="186"/>
      <x:c r="D8" s="186"/>
      <x:c r="E8" s="186"/>
      <x:c r="F8" s="188" t="str">
        <x:v>无字经与收官</x:v>
      </x:c>
      <x:c r="G8" s="188" t="str">
        <x:v>79—81</x:v>
      </x:c>
      <x:c r="H8" s="188" t="str">
        <x:v>成果质量、承诺兑现、九九归真</x:v>
      </x:c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6"/>
      <x:c r="B9" s="186"/>
      <x:c r="C9" s="186"/>
      <x:c r="D9" s="186"/>
      <x:c r="E9" s="186"/>
      <x:c r="F9" s="186"/>
      <x:c r="G9" s="186"/>
      <x:c r="H9" s="186"/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90" t="str">
        <x:v>主题大类</x:v>
      </x:c>
      <x:c r="B10" s="190" t="str">
        <x:v>数量</x:v>
      </x:c>
      <x:c r="C10" s="190" t="str">
        <x:v>占比</x:v>
      </x:c>
      <x:c r="D10" s="190" t="str">
        <x:v>写作方向</x:v>
      </x:c>
      <x:c r="E10" s="186"/>
      <x:c r="F10" s="186"/>
      <x:c r="G10" s="186"/>
      <x:c r="H10" s="186"/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8" t="str">
        <x:v>修行/归真</x:v>
      </x:c>
      <x:c r="B11" s="188" t="n">
        <x:v>22</x:v>
      </x:c>
      <x:c r="C11" s="191" t="n">
        <x:v>0.2716049382716049</x:v>
      </x:c>
      <x:c r="D11" s="188" t="str">
        <x:v>优先抽取对应回目原文，形成专题短文</x:v>
      </x:c>
      <x:c r="E11" s="186"/>
      <x:c r="F11" s="186"/>
      <x:c r="G11" s="186"/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8" t="str">
        <x:v>妖怪/后台</x:v>
      </x:c>
      <x:c r="B12" s="188" t="n">
        <x:v>17</x:v>
      </x:c>
      <x:c r="C12" s="191" t="n">
        <x:v>0.20987654320987653</x:v>
      </x:c>
      <x:c r="D12" s="188" t="str">
        <x:v>优先抽取对应回目原文，形成专题短文</x:v>
      </x:c>
      <x:c r="E12" s="186"/>
      <x:c r="F12" s="186"/>
      <x:c r="G12" s="186"/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8" t="str">
        <x:v>国家/制度/王权</x:v>
      </x:c>
      <x:c r="B13" s="188" t="n">
        <x:v>10</x:v>
      </x:c>
      <x:c r="C13" s="191" t="n">
        <x:v>0.12345679012345678</x:v>
      </x:c>
      <x:c r="D13" s="188" t="str">
        <x:v>优先抽取对应回目原文，形成专题短文</x:v>
      </x:c>
      <x:c r="E13" s="186"/>
      <x:c r="F13" s="186"/>
      <x:c r="G13" s="186"/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8" t="str">
        <x:v>环境/天灾/路阻</x:v>
      </x:c>
      <x:c r="B14" s="188" t="n">
        <x:v>9</x:v>
      </x:c>
      <x:c r="C14" s="191" t="n">
        <x:v>0.1111111111111111</x:v>
      </x:c>
      <x:c r="D14" s="188" t="str">
        <x:v>优先抽取对应回目原文，形成专题短文</x:v>
      </x:c>
      <x:c r="E14" s="186"/>
      <x:c r="F14" s="186"/>
      <x:c r="G14" s="186"/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8" t="str">
        <x:v>团队/心性</x:v>
      </x:c>
      <x:c r="B15" s="188" t="n">
        <x:v>8</x:v>
      </x:c>
      <x:c r="C15" s="191" t="n">
        <x:v>0.09876543209876543</x:v>
      </x:c>
      <x:c r="D15" s="188" t="str">
        <x:v>优先抽取对应回目原文，形成专题短文</x:v>
      </x:c>
      <x:c r="E15" s="186"/>
      <x:c r="F15" s="186"/>
      <x:c r="G15" s="186"/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8" t="str">
        <x:v>身世/冤案</x:v>
      </x:c>
      <x:c r="B16" s="188" t="n">
        <x:v>5</x:v>
      </x:c>
      <x:c r="C16" s="191" t="n">
        <x:v>0.06172839506172839</x:v>
      </x:c>
      <x:c r="D16" s="188" t="str">
        <x:v>优先抽取对应回目原文，形成专题短文</x:v>
      </x:c>
      <x:c r="E16" s="186"/>
      <x:c r="F16" s="186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8" t="str">
        <x:v>假权威/最高救援</x:v>
      </x:c>
      <x:c r="B17" s="188" t="n">
        <x:v>5</x:v>
      </x:c>
      <x:c r="C17" s="191" t="n">
        <x:v>0.06172839506172839</x:v>
      </x:c>
      <x:c r="D17" s="188" t="str">
        <x:v>优先抽取对应回目原文，形成专题短文</x:v>
      </x:c>
      <x:c r="E17" s="186"/>
      <x:c r="F17" s="186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8" t="str">
        <x:v>资源/法宝</x:v>
      </x:c>
      <x:c r="B18" s="188" t="n">
        <x:v>3</x:v>
      </x:c>
      <x:c r="C18" s="191" t="n">
        <x:v>0.037037037037037035</x:v>
      </x:c>
      <x:c r="D18" s="188" t="str">
        <x:v>优先抽取对应回目原文，形成专题短文</x:v>
      </x:c>
      <x:c r="E18" s="186"/>
      <x:c r="F18" s="186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8" t="str">
        <x:v>欲望/身体</x:v>
      </x:c>
      <x:c r="B19" s="188" t="n">
        <x:v>2</x:v>
      </x:c>
      <x:c r="C19" s="191" t="n">
        <x:v>0.024691358024691357</x:v>
      </x:c>
      <x:c r="D19" s="188" t="str">
        <x:v>优先抽取对应回目原文，形成专题短文</x:v>
      </x:c>
      <x:c r="E19" s="186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6"/>
      <x:c r="B20" s="186"/>
      <x:c r="C20" s="186"/>
      <x:c r="D20" s="186"/>
      <x:c r="E20" s="186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  <x:row r="51">
      <x:c r="A51" s="186"/>
      <x:c r="B51" s="186"/>
      <x:c r="C51" s="186"/>
      <x:c r="D51" s="186"/>
      <x:c r="E51" s="186"/>
      <x:c r="F51" s="186"/>
      <x:c r="G51" s="186"/>
      <x:c r="H51" s="186"/>
      <x:c r="I51" s="186"/>
      <x:c r="J51" s="186"/>
      <x:c r="K51" s="186"/>
      <x:c r="L51" s="186"/>
      <x:c r="M51" s="186"/>
      <x:c r="N51" s="186"/>
      <x:c r="O51" s="186"/>
      <x:c r="P51" s="186"/>
      <x:c r="Q51" s="186"/>
      <x:c r="R51" s="186"/>
      <x:c r="S51" s="186"/>
      <x:c r="T51" s="186"/>
      <x:c r="U51" s="186"/>
      <x:c r="V51" s="186"/>
      <x:c r="W51" s="186"/>
      <x:c r="X51" s="186"/>
      <x:c r="Y51" s="186"/>
      <x:c r="Z51" s="186"/>
    </x:row>
    <x:row r="52">
      <x:c r="A52" s="186"/>
      <x:c r="B52" s="186"/>
      <x:c r="C52" s="186"/>
      <x:c r="D52" s="186"/>
      <x:c r="E52" s="186"/>
      <x:c r="F52" s="186"/>
      <x:c r="G52" s="186"/>
      <x:c r="H52" s="186"/>
      <x:c r="I52" s="186"/>
      <x:c r="J52" s="186"/>
      <x:c r="K52" s="186"/>
      <x:c r="L52" s="186"/>
      <x:c r="M52" s="186"/>
      <x:c r="N52" s="186"/>
      <x:c r="O52" s="186"/>
      <x:c r="P52" s="186"/>
      <x:c r="Q52" s="186"/>
      <x:c r="R52" s="186"/>
      <x:c r="S52" s="186"/>
      <x:c r="T52" s="186"/>
      <x:c r="U52" s="186"/>
      <x:c r="V52" s="186"/>
      <x:c r="W52" s="186"/>
      <x:c r="X52" s="186"/>
      <x:c r="Y52" s="186"/>
      <x:c r="Z52" s="186"/>
    </x:row>
    <x:row r="53">
      <x:c r="A53" s="186"/>
      <x:c r="B53" s="186"/>
      <x:c r="C53" s="186"/>
      <x:c r="D53" s="186"/>
      <x:c r="E53" s="186"/>
      <x:c r="F53" s="186"/>
      <x:c r="G53" s="186"/>
      <x:c r="H53" s="186"/>
      <x:c r="I53" s="186"/>
      <x:c r="J53" s="186"/>
      <x:c r="K53" s="186"/>
      <x:c r="L53" s="186"/>
      <x:c r="M53" s="186"/>
      <x:c r="N53" s="186"/>
      <x:c r="O53" s="186"/>
      <x:c r="P53" s="186"/>
      <x:c r="Q53" s="186"/>
      <x:c r="R53" s="186"/>
      <x:c r="S53" s="186"/>
      <x:c r="T53" s="186"/>
      <x:c r="U53" s="186"/>
      <x:c r="V53" s="186"/>
      <x:c r="W53" s="186"/>
      <x:c r="X53" s="186"/>
      <x:c r="Y53" s="186"/>
      <x:c r="Z53" s="186"/>
    </x:row>
    <x:row r="54">
      <x:c r="A54" s="186"/>
      <x:c r="B54" s="186"/>
      <x:c r="C54" s="186"/>
      <x:c r="D54" s="186"/>
      <x:c r="E54" s="186"/>
      <x:c r="F54" s="186"/>
      <x:c r="G54" s="186"/>
      <x:c r="H54" s="186"/>
      <x:c r="I54" s="186"/>
      <x:c r="J54" s="186"/>
      <x:c r="K54" s="186"/>
      <x:c r="L54" s="186"/>
      <x:c r="M54" s="186"/>
      <x:c r="N54" s="186"/>
      <x:c r="O54" s="186"/>
      <x:c r="P54" s="186"/>
      <x:c r="Q54" s="186"/>
      <x:c r="R54" s="186"/>
      <x:c r="S54" s="186"/>
      <x:c r="T54" s="186"/>
      <x:c r="U54" s="186"/>
      <x:c r="V54" s="186"/>
      <x:c r="W54" s="186"/>
      <x:c r="X54" s="186"/>
      <x:c r="Y54" s="186"/>
      <x:c r="Z54" s="186"/>
    </x:row>
    <x:row r="55">
      <x:c r="A55" s="186"/>
      <x:c r="B55" s="186"/>
      <x:c r="C55" s="186"/>
      <x:c r="D55" s="186"/>
      <x:c r="E55" s="186"/>
      <x:c r="F55" s="186"/>
      <x:c r="G55" s="186"/>
      <x:c r="H55" s="186"/>
      <x:c r="I55" s="186"/>
      <x:c r="J55" s="186"/>
      <x:c r="K55" s="186"/>
      <x:c r="L55" s="186"/>
      <x:c r="M55" s="186"/>
      <x:c r="N55" s="186"/>
      <x:c r="O55" s="186"/>
      <x:c r="P55" s="186"/>
      <x:c r="Q55" s="186"/>
      <x:c r="R55" s="186"/>
      <x:c r="S55" s="186"/>
      <x:c r="T55" s="186"/>
      <x:c r="U55" s="186"/>
      <x:c r="V55" s="186"/>
      <x:c r="W55" s="186"/>
      <x:c r="X55" s="186"/>
      <x:c r="Y55" s="186"/>
      <x:c r="Z55" s="186"/>
    </x:row>
    <x:row r="56">
      <x:c r="A56" s="186"/>
      <x:c r="B56" s="186"/>
      <x:c r="C56" s="186"/>
      <x:c r="D56" s="186"/>
      <x:c r="E56" s="186"/>
      <x:c r="F56" s="186"/>
      <x:c r="G56" s="186"/>
      <x:c r="H56" s="186"/>
      <x:c r="I56" s="186"/>
      <x:c r="J56" s="186"/>
      <x:c r="K56" s="186"/>
      <x:c r="L56" s="186"/>
      <x:c r="M56" s="186"/>
      <x:c r="N56" s="186"/>
      <x:c r="O56" s="186"/>
      <x:c r="P56" s="186"/>
      <x:c r="Q56" s="186"/>
      <x:c r="R56" s="186"/>
      <x:c r="S56" s="186"/>
      <x:c r="T56" s="186"/>
      <x:c r="U56" s="186"/>
      <x:c r="V56" s="186"/>
      <x:c r="W56" s="186"/>
      <x:c r="X56" s="186"/>
      <x:c r="Y56" s="186"/>
      <x:c r="Z56" s="186"/>
    </x:row>
    <x:row r="57">
      <x:c r="A57" s="186"/>
      <x:c r="B57" s="186"/>
      <x:c r="C57" s="186"/>
      <x:c r="D57" s="186"/>
      <x:c r="E57" s="186"/>
      <x:c r="F57" s="186"/>
      <x:c r="G57" s="186"/>
      <x:c r="H57" s="186"/>
      <x:c r="I57" s="186"/>
      <x:c r="J57" s="186"/>
      <x:c r="K57" s="186"/>
      <x:c r="L57" s="186"/>
      <x:c r="M57" s="186"/>
      <x:c r="N57" s="186"/>
      <x:c r="O57" s="186"/>
      <x:c r="P57" s="186"/>
      <x:c r="Q57" s="186"/>
      <x:c r="R57" s="186"/>
      <x:c r="S57" s="186"/>
      <x:c r="T57" s="186"/>
      <x:c r="U57" s="186"/>
      <x:c r="V57" s="186"/>
      <x:c r="W57" s="186"/>
      <x:c r="X57" s="186"/>
      <x:c r="Y57" s="186"/>
      <x:c r="Z57" s="186"/>
    </x:row>
    <x:row r="58">
      <x:c r="A58" s="186"/>
      <x:c r="B58" s="186"/>
      <x:c r="C58" s="186"/>
      <x:c r="D58" s="186"/>
      <x:c r="E58" s="186"/>
      <x:c r="F58" s="186"/>
      <x:c r="G58" s="186"/>
      <x:c r="H58" s="186"/>
      <x:c r="I58" s="186"/>
      <x:c r="J58" s="186"/>
      <x:c r="K58" s="186"/>
      <x:c r="L58" s="186"/>
      <x:c r="M58" s="186"/>
      <x:c r="N58" s="186"/>
      <x:c r="O58" s="186"/>
      <x:c r="P58" s="186"/>
      <x:c r="Q58" s="186"/>
      <x:c r="R58" s="186"/>
      <x:c r="S58" s="186"/>
      <x:c r="T58" s="186"/>
      <x:c r="U58" s="186"/>
      <x:c r="V58" s="186"/>
      <x:c r="W58" s="186"/>
      <x:c r="X58" s="186"/>
      <x:c r="Y58" s="186"/>
      <x:c r="Z58" s="186"/>
    </x:row>
    <x:row r="59">
      <x:c r="A59" s="186"/>
      <x:c r="B59" s="186"/>
      <x:c r="C59" s="186"/>
      <x:c r="D59" s="186"/>
      <x:c r="E59" s="186"/>
      <x:c r="F59" s="186"/>
      <x:c r="G59" s="186"/>
      <x:c r="H59" s="186"/>
      <x:c r="I59" s="186"/>
      <x:c r="J59" s="186"/>
      <x:c r="K59" s="186"/>
      <x:c r="L59" s="186"/>
      <x:c r="M59" s="186"/>
      <x:c r="N59" s="186"/>
      <x:c r="O59" s="186"/>
      <x:c r="P59" s="186"/>
      <x:c r="Q59" s="186"/>
      <x:c r="R59" s="186"/>
      <x:c r="S59" s="186"/>
      <x:c r="T59" s="186"/>
      <x:c r="U59" s="186"/>
      <x:c r="V59" s="186"/>
      <x:c r="W59" s="186"/>
      <x:c r="X59" s="186"/>
      <x:c r="Y59" s="186"/>
      <x:c r="Z59" s="186"/>
    </x:row>
    <x:row r="60">
      <x:c r="A60" s="186"/>
      <x:c r="B60" s="186"/>
      <x:c r="C60" s="186"/>
      <x:c r="D60" s="186"/>
      <x:c r="E60" s="186"/>
      <x:c r="F60" s="186"/>
      <x:c r="G60" s="186"/>
      <x:c r="H60" s="186"/>
      <x:c r="I60" s="186"/>
      <x:c r="J60" s="186"/>
      <x:c r="K60" s="186"/>
      <x:c r="L60" s="186"/>
      <x:c r="M60" s="186"/>
      <x:c r="N60" s="186"/>
      <x:c r="O60" s="186"/>
      <x:c r="P60" s="186"/>
      <x:c r="Q60" s="186"/>
      <x:c r="R60" s="186"/>
      <x:c r="S60" s="186"/>
      <x:c r="T60" s="186"/>
      <x:c r="U60" s="186"/>
      <x:c r="V60" s="186"/>
      <x:c r="W60" s="186"/>
      <x:c r="X60" s="186"/>
      <x:c r="Y60" s="186"/>
      <x:c r="Z60" s="186"/>
    </x:row>
    <x:row r="61">
      <x:c r="A61" s="186"/>
      <x:c r="B61" s="186"/>
      <x:c r="C61" s="186"/>
      <x:c r="D61" s="186"/>
      <x:c r="E61" s="186"/>
      <x:c r="F61" s="186"/>
      <x:c r="G61" s="186"/>
      <x:c r="H61" s="186"/>
      <x:c r="I61" s="186"/>
      <x:c r="J61" s="186"/>
      <x:c r="K61" s="186"/>
      <x:c r="L61" s="186"/>
      <x:c r="M61" s="186"/>
      <x:c r="N61" s="186"/>
      <x:c r="O61" s="186"/>
      <x:c r="P61" s="186"/>
      <x:c r="Q61" s="186"/>
      <x:c r="R61" s="186"/>
      <x:c r="S61" s="186"/>
      <x:c r="T61" s="186"/>
      <x:c r="U61" s="186"/>
      <x:c r="V61" s="186"/>
      <x:c r="W61" s="186"/>
      <x:c r="X61" s="186"/>
      <x:c r="Y61" s="186"/>
      <x:c r="Z61" s="186"/>
    </x:row>
    <x:row r="62">
      <x:c r="A62" s="186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6"/>
      <x:c r="P62" s="186"/>
      <x:c r="Q62" s="186"/>
      <x:c r="R62" s="186"/>
      <x:c r="S62" s="186"/>
      <x:c r="T62" s="186"/>
      <x:c r="U62" s="186"/>
      <x:c r="V62" s="186"/>
      <x:c r="W62" s="186"/>
      <x:c r="X62" s="186"/>
      <x:c r="Y62" s="186"/>
      <x:c r="Z62" s="186"/>
    </x:row>
    <x:row r="63">
      <x:c r="A63" s="186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6"/>
      <x:c r="P63" s="186"/>
      <x:c r="Q63" s="186"/>
      <x:c r="R63" s="186"/>
      <x:c r="S63" s="186"/>
      <x:c r="T63" s="186"/>
      <x:c r="U63" s="186"/>
      <x:c r="V63" s="186"/>
      <x:c r="W63" s="186"/>
      <x:c r="X63" s="186"/>
      <x:c r="Y63" s="186"/>
      <x:c r="Z63" s="186"/>
    </x:row>
    <x:row r="64">
      <x:c r="A64" s="186"/>
      <x:c r="B64" s="186"/>
      <x:c r="C64" s="186"/>
      <x:c r="D64" s="186"/>
      <x:c r="E64" s="186"/>
      <x:c r="F64" s="186"/>
      <x:c r="G64" s="186"/>
      <x:c r="H64" s="186"/>
      <x:c r="I64" s="186"/>
      <x:c r="J64" s="186"/>
      <x:c r="K64" s="186"/>
      <x:c r="L64" s="186"/>
      <x:c r="M64" s="186"/>
      <x:c r="N64" s="186"/>
      <x:c r="O64" s="186"/>
      <x:c r="P64" s="186"/>
      <x:c r="Q64" s="186"/>
      <x:c r="R64" s="186"/>
      <x:c r="S64" s="186"/>
      <x:c r="T64" s="186"/>
      <x:c r="U64" s="186"/>
      <x:c r="V64" s="186"/>
      <x:c r="W64" s="186"/>
      <x:c r="X64" s="186"/>
      <x:c r="Y64" s="186"/>
      <x:c r="Z64" s="186"/>
    </x:row>
    <x:row r="65">
      <x:c r="A65" s="186"/>
      <x:c r="B65" s="186"/>
      <x:c r="C65" s="186"/>
      <x:c r="D65" s="186"/>
      <x:c r="E65" s="186"/>
      <x:c r="F65" s="186"/>
      <x:c r="G65" s="186"/>
      <x:c r="H65" s="186"/>
      <x:c r="I65" s="186"/>
      <x:c r="J65" s="186"/>
      <x:c r="K65" s="186"/>
      <x:c r="L65" s="186"/>
      <x:c r="M65" s="186"/>
      <x:c r="N65" s="186"/>
      <x:c r="O65" s="186"/>
      <x:c r="P65" s="186"/>
      <x:c r="Q65" s="186"/>
      <x:c r="R65" s="186"/>
      <x:c r="S65" s="186"/>
      <x:c r="T65" s="186"/>
      <x:c r="U65" s="186"/>
      <x:c r="V65" s="186"/>
      <x:c r="W65" s="186"/>
      <x:c r="X65" s="186"/>
      <x:c r="Y65" s="186"/>
      <x:c r="Z65" s="186"/>
    </x:row>
    <x:row r="66">
      <x:c r="A66" s="186"/>
      <x:c r="B66" s="186"/>
      <x:c r="C66" s="186"/>
      <x:c r="D66" s="186"/>
      <x:c r="E66" s="186"/>
      <x:c r="F66" s="186"/>
      <x:c r="G66" s="186"/>
      <x:c r="H66" s="186"/>
      <x:c r="I66" s="186"/>
      <x:c r="J66" s="186"/>
      <x:c r="K66" s="186"/>
      <x:c r="L66" s="186"/>
      <x:c r="M66" s="186"/>
      <x:c r="N66" s="186"/>
      <x:c r="O66" s="186"/>
      <x:c r="P66" s="186"/>
      <x:c r="Q66" s="186"/>
      <x:c r="R66" s="186"/>
      <x:c r="S66" s="186"/>
      <x:c r="T66" s="186"/>
      <x:c r="U66" s="186"/>
      <x:c r="V66" s="186"/>
      <x:c r="W66" s="186"/>
      <x:c r="X66" s="186"/>
      <x:c r="Y66" s="186"/>
      <x:c r="Z66" s="186"/>
    </x:row>
    <x:row r="67">
      <x:c r="A67" s="186"/>
      <x:c r="B67" s="186"/>
      <x:c r="C67" s="186"/>
      <x:c r="D67" s="186"/>
      <x:c r="E67" s="186"/>
      <x:c r="F67" s="186"/>
      <x:c r="G67" s="186"/>
      <x:c r="H67" s="186"/>
      <x:c r="I67" s="186"/>
      <x:c r="J67" s="186"/>
      <x:c r="K67" s="186"/>
      <x:c r="L67" s="186"/>
      <x:c r="M67" s="186"/>
      <x:c r="N67" s="186"/>
      <x:c r="O67" s="186"/>
      <x:c r="P67" s="186"/>
      <x:c r="Q67" s="186"/>
      <x:c r="R67" s="186"/>
      <x:c r="S67" s="186"/>
      <x:c r="T67" s="186"/>
      <x:c r="U67" s="186"/>
      <x:c r="V67" s="186"/>
      <x:c r="W67" s="186"/>
      <x:c r="X67" s="186"/>
      <x:c r="Y67" s="186"/>
      <x:c r="Z67" s="186"/>
    </x:row>
    <x:row r="68">
      <x:c r="A68" s="186"/>
      <x:c r="B68" s="186"/>
      <x:c r="C68" s="186"/>
      <x:c r="D68" s="186"/>
      <x:c r="E68" s="186"/>
      <x:c r="F68" s="186"/>
      <x:c r="G68" s="186"/>
      <x:c r="H68" s="186"/>
      <x:c r="I68" s="186"/>
      <x:c r="J68" s="186"/>
      <x:c r="K68" s="186"/>
      <x:c r="L68" s="186"/>
      <x:c r="M68" s="186"/>
      <x:c r="N68" s="186"/>
      <x:c r="O68" s="186"/>
      <x:c r="P68" s="186"/>
      <x:c r="Q68" s="186"/>
      <x:c r="R68" s="186"/>
      <x:c r="S68" s="186"/>
      <x:c r="T68" s="186"/>
      <x:c r="U68" s="186"/>
      <x:c r="V68" s="186"/>
      <x:c r="W68" s="186"/>
      <x:c r="X68" s="186"/>
      <x:c r="Y68" s="186"/>
      <x:c r="Z68" s="186"/>
    </x:row>
    <x:row r="69">
      <x:c r="A69" s="186"/>
      <x:c r="B69" s="186"/>
      <x:c r="C69" s="186"/>
      <x:c r="D69" s="186"/>
      <x:c r="E69" s="186"/>
      <x:c r="F69" s="186"/>
      <x:c r="G69" s="186"/>
      <x:c r="H69" s="186"/>
      <x:c r="I69" s="186"/>
      <x:c r="J69" s="186"/>
      <x:c r="K69" s="186"/>
      <x:c r="L69" s="186"/>
      <x:c r="M69" s="186"/>
      <x:c r="N69" s="186"/>
      <x:c r="O69" s="186"/>
      <x:c r="P69" s="186"/>
      <x:c r="Q69" s="186"/>
      <x:c r="R69" s="186"/>
      <x:c r="S69" s="186"/>
      <x:c r="T69" s="186"/>
      <x:c r="U69" s="186"/>
      <x:c r="V69" s="186"/>
      <x:c r="W69" s="186"/>
      <x:c r="X69" s="186"/>
      <x:c r="Y69" s="186"/>
      <x:c r="Z69" s="186"/>
    </x:row>
    <x:row r="70">
      <x:c r="A70" s="186"/>
      <x:c r="B70" s="186"/>
      <x:c r="C70" s="186"/>
      <x:c r="D70" s="186"/>
      <x:c r="E70" s="186"/>
      <x:c r="F70" s="186"/>
      <x:c r="G70" s="186"/>
      <x:c r="H70" s="186"/>
      <x:c r="I70" s="186"/>
      <x:c r="J70" s="186"/>
      <x:c r="K70" s="186"/>
      <x:c r="L70" s="186"/>
      <x:c r="M70" s="186"/>
      <x:c r="N70" s="186"/>
      <x:c r="O70" s="186"/>
      <x:c r="P70" s="186"/>
      <x:c r="Q70" s="186"/>
      <x:c r="R70" s="186"/>
      <x:c r="S70" s="186"/>
      <x:c r="T70" s="186"/>
      <x:c r="U70" s="186"/>
      <x:c r="V70" s="186"/>
      <x:c r="W70" s="186"/>
      <x:c r="X70" s="186"/>
      <x:c r="Y70" s="186"/>
      <x:c r="Z70" s="186"/>
    </x:row>
    <x:row r="71">
      <x:c r="A71" s="186"/>
      <x:c r="B71" s="186"/>
      <x:c r="C71" s="186"/>
      <x:c r="D71" s="186"/>
      <x:c r="E71" s="186"/>
      <x:c r="F71" s="186"/>
      <x:c r="G71" s="186"/>
      <x:c r="H71" s="186"/>
      <x:c r="I71" s="186"/>
      <x:c r="J71" s="186"/>
      <x:c r="K71" s="186"/>
      <x:c r="L71" s="186"/>
      <x:c r="M71" s="186"/>
      <x:c r="N71" s="186"/>
      <x:c r="O71" s="186"/>
      <x:c r="P71" s="186"/>
      <x:c r="Q71" s="186"/>
      <x:c r="R71" s="186"/>
      <x:c r="S71" s="186"/>
      <x:c r="T71" s="186"/>
      <x:c r="U71" s="186"/>
      <x:c r="V71" s="186"/>
      <x:c r="W71" s="186"/>
      <x:c r="X71" s="186"/>
      <x:c r="Y71" s="186"/>
      <x:c r="Z71" s="186"/>
    </x:row>
    <x:row r="72">
      <x:c r="A72" s="186"/>
      <x:c r="B72" s="186"/>
      <x:c r="C72" s="186"/>
      <x:c r="D72" s="186"/>
      <x:c r="E72" s="186"/>
      <x:c r="F72" s="186"/>
      <x:c r="G72" s="186"/>
      <x:c r="H72" s="186"/>
      <x:c r="I72" s="186"/>
      <x:c r="J72" s="186"/>
      <x:c r="K72" s="186"/>
      <x:c r="L72" s="186"/>
      <x:c r="M72" s="186"/>
      <x:c r="N72" s="186"/>
      <x:c r="O72" s="186"/>
      <x:c r="P72" s="186"/>
      <x:c r="Q72" s="186"/>
      <x:c r="R72" s="186"/>
      <x:c r="S72" s="186"/>
      <x:c r="T72" s="186"/>
      <x:c r="U72" s="186"/>
      <x:c r="V72" s="186"/>
      <x:c r="W72" s="186"/>
      <x:c r="X72" s="186"/>
      <x:c r="Y72" s="186"/>
      <x:c r="Z72" s="186"/>
    </x:row>
    <x:row r="73">
      <x:c r="A73" s="186"/>
      <x:c r="B73" s="186"/>
      <x:c r="C73" s="186"/>
      <x:c r="D73" s="186"/>
      <x:c r="E73" s="186"/>
      <x:c r="F73" s="186"/>
      <x:c r="G73" s="186"/>
      <x:c r="H73" s="186"/>
      <x:c r="I73" s="186"/>
      <x:c r="J73" s="186"/>
      <x:c r="K73" s="186"/>
      <x:c r="L73" s="186"/>
      <x:c r="M73" s="186"/>
      <x:c r="N73" s="186"/>
      <x:c r="O73" s="186"/>
      <x:c r="P73" s="186"/>
      <x:c r="Q73" s="186"/>
      <x:c r="R73" s="186"/>
      <x:c r="S73" s="186"/>
      <x:c r="T73" s="186"/>
      <x:c r="U73" s="186"/>
      <x:c r="V73" s="186"/>
      <x:c r="W73" s="186"/>
      <x:c r="X73" s="186"/>
      <x:c r="Y73" s="186"/>
      <x:c r="Z73" s="186"/>
    </x:row>
    <x:row r="74">
      <x:c r="A74" s="186"/>
      <x:c r="B74" s="186"/>
      <x:c r="C74" s="186"/>
      <x:c r="D74" s="186"/>
      <x:c r="E74" s="186"/>
      <x:c r="F74" s="186"/>
      <x:c r="G74" s="186"/>
      <x:c r="H74" s="186"/>
      <x:c r="I74" s="186"/>
      <x:c r="J74" s="186"/>
      <x:c r="K74" s="186"/>
      <x:c r="L74" s="186"/>
      <x:c r="M74" s="186"/>
      <x:c r="N74" s="186"/>
      <x:c r="O74" s="186"/>
      <x:c r="P74" s="186"/>
      <x:c r="Q74" s="186"/>
      <x:c r="R74" s="186"/>
      <x:c r="S74" s="186"/>
      <x:c r="T74" s="186"/>
      <x:c r="U74" s="186"/>
      <x:c r="V74" s="186"/>
      <x:c r="W74" s="186"/>
      <x:c r="X74" s="186"/>
      <x:c r="Y74" s="186"/>
      <x:c r="Z74" s="186"/>
    </x:row>
    <x:row r="75">
      <x:c r="A75" s="186"/>
      <x:c r="B75" s="186"/>
      <x:c r="C75" s="186"/>
      <x:c r="D75" s="186"/>
      <x:c r="E75" s="186"/>
      <x:c r="F75" s="186"/>
      <x:c r="G75" s="186"/>
      <x:c r="H75" s="186"/>
      <x:c r="I75" s="186"/>
      <x:c r="J75" s="186"/>
      <x:c r="K75" s="186"/>
      <x:c r="L75" s="186"/>
      <x:c r="M75" s="186"/>
      <x:c r="N75" s="186"/>
      <x:c r="O75" s="186"/>
      <x:c r="P75" s="186"/>
      <x:c r="Q75" s="186"/>
      <x:c r="R75" s="186"/>
      <x:c r="S75" s="186"/>
      <x:c r="T75" s="186"/>
      <x:c r="U75" s="186"/>
      <x:c r="V75" s="186"/>
      <x:c r="W75" s="186"/>
      <x:c r="X75" s="186"/>
      <x:c r="Y75" s="186"/>
      <x:c r="Z75" s="186"/>
    </x:row>
    <x:row r="76">
      <x:c r="A76" s="186"/>
      <x:c r="B76" s="186"/>
      <x:c r="C76" s="186"/>
      <x:c r="D76" s="186"/>
      <x:c r="E76" s="186"/>
      <x:c r="F76" s="186"/>
      <x:c r="G76" s="186"/>
      <x:c r="H76" s="186"/>
      <x:c r="I76" s="186"/>
      <x:c r="J76" s="186"/>
      <x:c r="K76" s="186"/>
      <x:c r="L76" s="186"/>
      <x:c r="M76" s="186"/>
      <x:c r="N76" s="186"/>
      <x:c r="O76" s="186"/>
      <x:c r="P76" s="186"/>
      <x:c r="Q76" s="186"/>
      <x:c r="R76" s="186"/>
      <x:c r="S76" s="186"/>
      <x:c r="T76" s="186"/>
      <x:c r="U76" s="186"/>
      <x:c r="V76" s="186"/>
      <x:c r="W76" s="186"/>
      <x:c r="X76" s="186"/>
      <x:c r="Y76" s="186"/>
      <x:c r="Z76" s="186"/>
    </x:row>
    <x:row r="77">
      <x:c r="A77" s="186"/>
      <x:c r="B77" s="186"/>
      <x:c r="C77" s="186"/>
      <x:c r="D77" s="186"/>
      <x:c r="E77" s="186"/>
      <x:c r="F77" s="186"/>
      <x:c r="G77" s="186"/>
      <x:c r="H77" s="186"/>
      <x:c r="I77" s="186"/>
      <x:c r="J77" s="186"/>
      <x:c r="K77" s="186"/>
      <x:c r="L77" s="186"/>
      <x:c r="M77" s="186"/>
      <x:c r="N77" s="186"/>
      <x:c r="O77" s="186"/>
      <x:c r="P77" s="186"/>
      <x:c r="Q77" s="186"/>
      <x:c r="R77" s="186"/>
      <x:c r="S77" s="186"/>
      <x:c r="T77" s="186"/>
      <x:c r="U77" s="186"/>
      <x:c r="V77" s="186"/>
      <x:c r="W77" s="186"/>
      <x:c r="X77" s="186"/>
      <x:c r="Y77" s="186"/>
      <x:c r="Z77" s="186"/>
    </x:row>
    <x:row r="78">
      <x:c r="A78" s="186"/>
      <x:c r="B78" s="186"/>
      <x:c r="C78" s="186"/>
      <x:c r="D78" s="186"/>
      <x:c r="E78" s="186"/>
      <x:c r="F78" s="186"/>
      <x:c r="G78" s="186"/>
      <x:c r="H78" s="186"/>
      <x:c r="I78" s="186"/>
      <x:c r="J78" s="186"/>
      <x:c r="K78" s="186"/>
      <x:c r="L78" s="186"/>
      <x:c r="M78" s="186"/>
      <x:c r="N78" s="186"/>
      <x:c r="O78" s="186"/>
      <x:c r="P78" s="186"/>
      <x:c r="Q78" s="186"/>
      <x:c r="R78" s="186"/>
      <x:c r="S78" s="186"/>
      <x:c r="T78" s="186"/>
      <x:c r="U78" s="186"/>
      <x:c r="V78" s="186"/>
      <x:c r="W78" s="186"/>
      <x:c r="X78" s="186"/>
      <x:c r="Y78" s="186"/>
      <x:c r="Z78" s="186"/>
    </x:row>
    <x:row r="79">
      <x:c r="A79" s="186"/>
      <x:c r="B79" s="186"/>
      <x:c r="C79" s="186"/>
      <x:c r="D79" s="186"/>
      <x:c r="E79" s="186"/>
      <x:c r="F79" s="186"/>
      <x:c r="G79" s="186"/>
      <x:c r="H79" s="186"/>
      <x:c r="I79" s="186"/>
      <x:c r="J79" s="186"/>
      <x:c r="K79" s="186"/>
      <x:c r="L79" s="186"/>
      <x:c r="M79" s="186"/>
      <x:c r="N79" s="186"/>
      <x:c r="O79" s="186"/>
      <x:c r="P79" s="186"/>
      <x:c r="Q79" s="186"/>
      <x:c r="R79" s="186"/>
      <x:c r="S79" s="186"/>
      <x:c r="T79" s="186"/>
      <x:c r="U79" s="186"/>
      <x:c r="V79" s="186"/>
      <x:c r="W79" s="186"/>
      <x:c r="X79" s="186"/>
      <x:c r="Y79" s="186"/>
      <x:c r="Z79" s="186"/>
    </x:row>
    <x:row r="80">
      <x:c r="A80" s="186"/>
      <x:c r="B80" s="186"/>
      <x:c r="C80" s="186"/>
      <x:c r="D80" s="186"/>
      <x:c r="E80" s="186"/>
      <x:c r="F80" s="186"/>
      <x:c r="G80" s="186"/>
      <x:c r="H80" s="186"/>
      <x:c r="I80" s="186"/>
      <x:c r="J80" s="186"/>
      <x:c r="K80" s="186"/>
      <x:c r="L80" s="186"/>
      <x:c r="M80" s="186"/>
      <x:c r="N80" s="186"/>
      <x:c r="O80" s="186"/>
      <x:c r="P80" s="186"/>
      <x:c r="Q80" s="186"/>
      <x:c r="R80" s="186"/>
      <x:c r="S80" s="186"/>
      <x:c r="T80" s="186"/>
      <x:c r="U80" s="186"/>
      <x:c r="V80" s="186"/>
      <x:c r="W80" s="186"/>
      <x:c r="X80" s="186"/>
      <x:c r="Y80" s="186"/>
      <x:c r="Z80" s="186"/>
    </x:row>
    <x:row r="81">
      <x:c r="A81" s="186"/>
      <x:c r="B81" s="186"/>
      <x:c r="C81" s="186"/>
      <x:c r="D81" s="186"/>
      <x:c r="E81" s="186"/>
      <x:c r="F81" s="186"/>
      <x:c r="G81" s="186"/>
      <x:c r="H81" s="186"/>
      <x:c r="I81" s="186"/>
      <x:c r="J81" s="186"/>
      <x:c r="K81" s="186"/>
      <x:c r="L81" s="186"/>
      <x:c r="M81" s="186"/>
      <x:c r="N81" s="186"/>
      <x:c r="O81" s="186"/>
      <x:c r="P81" s="186"/>
      <x:c r="Q81" s="186"/>
      <x:c r="R81" s="186"/>
      <x:c r="S81" s="186"/>
      <x:c r="T81" s="186"/>
      <x:c r="U81" s="186"/>
      <x:c r="V81" s="186"/>
      <x:c r="W81" s="186"/>
      <x:c r="X81" s="186"/>
      <x:c r="Y81" s="186"/>
      <x:c r="Z81" s="186"/>
    </x:row>
    <x:row r="82">
      <x:c r="A82" s="186"/>
      <x:c r="B82" s="186"/>
      <x:c r="C82" s="186"/>
      <x:c r="D82" s="186"/>
      <x:c r="E82" s="186"/>
      <x:c r="F82" s="186"/>
      <x:c r="G82" s="186"/>
      <x:c r="H82" s="186"/>
      <x:c r="I82" s="186"/>
      <x:c r="J82" s="186"/>
      <x:c r="K82" s="186"/>
      <x:c r="L82" s="186"/>
      <x:c r="M82" s="186"/>
      <x:c r="N82" s="186"/>
      <x:c r="O82" s="186"/>
      <x:c r="P82" s="186"/>
      <x:c r="Q82" s="186"/>
      <x:c r="R82" s="186"/>
      <x:c r="S82" s="186"/>
      <x:c r="T82" s="186"/>
      <x:c r="U82" s="186"/>
      <x:c r="V82" s="186"/>
      <x:c r="W82" s="186"/>
      <x:c r="X82" s="186"/>
      <x:c r="Y82" s="186"/>
      <x:c r="Z82" s="186"/>
    </x:row>
    <x:row r="83">
      <x:c r="A83" s="186"/>
      <x:c r="B83" s="186"/>
      <x:c r="C83" s="186"/>
      <x:c r="D83" s="186"/>
      <x:c r="E83" s="186"/>
      <x:c r="F83" s="186"/>
      <x:c r="G83" s="186"/>
      <x:c r="H83" s="186"/>
      <x:c r="I83" s="186"/>
      <x:c r="J83" s="186"/>
      <x:c r="K83" s="186"/>
      <x:c r="L83" s="186"/>
      <x:c r="M83" s="186"/>
      <x:c r="N83" s="186"/>
      <x:c r="O83" s="186"/>
      <x:c r="P83" s="186"/>
      <x:c r="Q83" s="186"/>
      <x:c r="R83" s="186"/>
      <x:c r="S83" s="186"/>
      <x:c r="T83" s="186"/>
      <x:c r="U83" s="186"/>
      <x:c r="V83" s="186"/>
      <x:c r="W83" s="186"/>
      <x:c r="X83" s="186"/>
      <x:c r="Y83" s="186"/>
      <x:c r="Z83" s="186"/>
    </x:row>
    <x:row r="84">
      <x:c r="A84" s="186"/>
      <x:c r="B84" s="186"/>
      <x:c r="C84" s="186"/>
      <x:c r="D84" s="186"/>
      <x:c r="E84" s="186"/>
      <x:c r="F84" s="186"/>
      <x:c r="G84" s="186"/>
      <x:c r="H84" s="186"/>
      <x:c r="I84" s="186"/>
      <x:c r="J84" s="186"/>
      <x:c r="K84" s="186"/>
      <x:c r="L84" s="186"/>
      <x:c r="M84" s="186"/>
      <x:c r="N84" s="186"/>
      <x:c r="O84" s="186"/>
      <x:c r="P84" s="186"/>
      <x:c r="Q84" s="186"/>
      <x:c r="R84" s="186"/>
      <x:c r="S84" s="186"/>
      <x:c r="T84" s="186"/>
      <x:c r="U84" s="186"/>
      <x:c r="V84" s="186"/>
      <x:c r="W84" s="186"/>
      <x:c r="X84" s="186"/>
      <x:c r="Y84" s="186"/>
      <x:c r="Z84" s="186"/>
    </x:row>
    <x:row r="85">
      <x:c r="A85" s="186"/>
      <x:c r="B85" s="186"/>
      <x:c r="C85" s="186"/>
      <x:c r="D85" s="186"/>
      <x:c r="E85" s="186"/>
      <x:c r="F85" s="186"/>
      <x:c r="G85" s="186"/>
      <x:c r="H85" s="186"/>
      <x:c r="I85" s="186"/>
      <x:c r="J85" s="186"/>
      <x:c r="K85" s="186"/>
      <x:c r="L85" s="186"/>
      <x:c r="M85" s="186"/>
      <x:c r="N85" s="186"/>
      <x:c r="O85" s="186"/>
      <x:c r="P85" s="186"/>
      <x:c r="Q85" s="186"/>
      <x:c r="R85" s="186"/>
      <x:c r="S85" s="186"/>
      <x:c r="T85" s="186"/>
      <x:c r="U85" s="186"/>
      <x:c r="V85" s="186"/>
      <x:c r="W85" s="186"/>
      <x:c r="X85" s="186"/>
      <x:c r="Y85" s="186"/>
      <x:c r="Z85" s="186"/>
    </x:row>
    <x:row r="86">
      <x:c r="A86" s="186"/>
      <x:c r="B86" s="186"/>
      <x:c r="C86" s="186"/>
      <x:c r="D86" s="186"/>
      <x:c r="E86" s="186"/>
      <x:c r="F86" s="186"/>
      <x:c r="G86" s="186"/>
      <x:c r="H86" s="186"/>
      <x:c r="I86" s="186"/>
      <x:c r="J86" s="186"/>
      <x:c r="K86" s="186"/>
      <x:c r="L86" s="186"/>
      <x:c r="M86" s="186"/>
      <x:c r="N86" s="186"/>
      <x:c r="O86" s="186"/>
      <x:c r="P86" s="186"/>
      <x:c r="Q86" s="186"/>
      <x:c r="R86" s="186"/>
      <x:c r="S86" s="186"/>
      <x:c r="T86" s="186"/>
      <x:c r="U86" s="186"/>
      <x:c r="V86" s="186"/>
      <x:c r="W86" s="186"/>
      <x:c r="X86" s="186"/>
      <x:c r="Y86" s="186"/>
      <x:c r="Z86" s="186"/>
    </x:row>
    <x:row r="87">
      <x:c r="A87" s="186"/>
      <x:c r="B87" s="186"/>
      <x:c r="C87" s="186"/>
      <x:c r="D87" s="186"/>
      <x:c r="E87" s="186"/>
      <x:c r="F87" s="186"/>
      <x:c r="G87" s="186"/>
      <x:c r="H87" s="186"/>
      <x:c r="I87" s="186"/>
      <x:c r="J87" s="186"/>
      <x:c r="K87" s="186"/>
      <x:c r="L87" s="186"/>
      <x:c r="M87" s="186"/>
      <x:c r="N87" s="186"/>
      <x:c r="O87" s="186"/>
      <x:c r="P87" s="186"/>
      <x:c r="Q87" s="186"/>
      <x:c r="R87" s="186"/>
      <x:c r="S87" s="186"/>
      <x:c r="T87" s="186"/>
      <x:c r="U87" s="186"/>
      <x:c r="V87" s="186"/>
      <x:c r="W87" s="186"/>
      <x:c r="X87" s="186"/>
      <x:c r="Y87" s="186"/>
      <x:c r="Z87" s="186"/>
    </x:row>
    <x:row r="88">
      <x:c r="A88" s="186"/>
      <x:c r="B88" s="186"/>
      <x:c r="C88" s="186"/>
      <x:c r="D88" s="186"/>
      <x:c r="E88" s="186"/>
      <x:c r="F88" s="186"/>
      <x:c r="G88" s="186"/>
      <x:c r="H88" s="186"/>
      <x:c r="I88" s="186"/>
      <x:c r="J88" s="186"/>
      <x:c r="K88" s="186"/>
      <x:c r="L88" s="186"/>
      <x:c r="M88" s="186"/>
      <x:c r="N88" s="186"/>
      <x:c r="O88" s="186"/>
      <x:c r="P88" s="186"/>
      <x:c r="Q88" s="186"/>
      <x:c r="R88" s="186"/>
      <x:c r="S88" s="186"/>
      <x:c r="T88" s="186"/>
      <x:c r="U88" s="186"/>
      <x:c r="V88" s="186"/>
      <x:c r="W88" s="186"/>
      <x:c r="X88" s="186"/>
      <x:c r="Y88" s="186"/>
      <x:c r="Z88" s="186"/>
    </x:row>
    <x:row r="89">
      <x:c r="A89" s="186"/>
      <x:c r="B89" s="186"/>
      <x:c r="C89" s="186"/>
      <x:c r="D89" s="186"/>
      <x:c r="E89" s="186"/>
      <x:c r="F89" s="186"/>
      <x:c r="G89" s="186"/>
      <x:c r="H89" s="186"/>
      <x:c r="I89" s="186"/>
      <x:c r="J89" s="186"/>
      <x:c r="K89" s="186"/>
      <x:c r="L89" s="186"/>
      <x:c r="M89" s="186"/>
      <x:c r="N89" s="186"/>
      <x:c r="O89" s="186"/>
      <x:c r="P89" s="186"/>
      <x:c r="Q89" s="186"/>
      <x:c r="R89" s="186"/>
      <x:c r="S89" s="186"/>
      <x:c r="T89" s="186"/>
      <x:c r="U89" s="186"/>
      <x:c r="V89" s="186"/>
      <x:c r="W89" s="186"/>
      <x:c r="X89" s="186"/>
      <x:c r="Y89" s="186"/>
      <x:c r="Z89" s="186"/>
    </x:row>
    <x:row r="90">
      <x:c r="A90" s="186"/>
      <x:c r="B90" s="186"/>
      <x:c r="C90" s="186"/>
      <x:c r="D90" s="186"/>
      <x:c r="E90" s="186"/>
      <x:c r="F90" s="186"/>
      <x:c r="G90" s="186"/>
      <x:c r="H90" s="186"/>
      <x:c r="I90" s="186"/>
      <x:c r="J90" s="186"/>
      <x:c r="K90" s="186"/>
      <x:c r="L90" s="186"/>
      <x:c r="M90" s="186"/>
      <x:c r="N90" s="186"/>
      <x:c r="O90" s="186"/>
      <x:c r="P90" s="186"/>
      <x:c r="Q90" s="186"/>
      <x:c r="R90" s="186"/>
      <x:c r="S90" s="186"/>
      <x:c r="T90" s="186"/>
      <x:c r="U90" s="186"/>
      <x:c r="V90" s="186"/>
      <x:c r="W90" s="186"/>
      <x:c r="X90" s="186"/>
      <x:c r="Y90" s="186"/>
      <x:c r="Z90" s="186"/>
    </x:row>
    <x:row r="91">
      <x:c r="A91" s="186"/>
      <x:c r="B91" s="186"/>
      <x:c r="C91" s="186"/>
      <x:c r="D91" s="186"/>
      <x:c r="E91" s="186"/>
      <x:c r="F91" s="186"/>
      <x:c r="G91" s="186"/>
      <x:c r="H91" s="186"/>
      <x:c r="I91" s="186"/>
      <x:c r="J91" s="186"/>
      <x:c r="K91" s="186"/>
      <x:c r="L91" s="186"/>
      <x:c r="M91" s="186"/>
      <x:c r="N91" s="186"/>
      <x:c r="O91" s="186"/>
      <x:c r="P91" s="186"/>
      <x:c r="Q91" s="186"/>
      <x:c r="R91" s="186"/>
      <x:c r="S91" s="186"/>
      <x:c r="T91" s="186"/>
      <x:c r="U91" s="186"/>
      <x:c r="V91" s="186"/>
      <x:c r="W91" s="186"/>
      <x:c r="X91" s="186"/>
      <x:c r="Y91" s="186"/>
      <x:c r="Z91" s="186"/>
    </x:row>
    <x:row r="92">
      <x:c r="A92" s="186"/>
      <x:c r="B92" s="186"/>
      <x:c r="C92" s="186"/>
      <x:c r="D92" s="186"/>
      <x:c r="E92" s="186"/>
      <x:c r="F92" s="186"/>
      <x:c r="G92" s="186"/>
      <x:c r="H92" s="186"/>
      <x:c r="I92" s="186"/>
      <x:c r="J92" s="186"/>
      <x:c r="K92" s="186"/>
      <x:c r="L92" s="186"/>
      <x:c r="M92" s="186"/>
      <x:c r="N92" s="186"/>
      <x:c r="O92" s="186"/>
      <x:c r="P92" s="186"/>
      <x:c r="Q92" s="186"/>
      <x:c r="R92" s="186"/>
      <x:c r="S92" s="186"/>
      <x:c r="T92" s="186"/>
      <x:c r="U92" s="186"/>
      <x:c r="V92" s="186"/>
      <x:c r="W92" s="186"/>
      <x:c r="X92" s="186"/>
      <x:c r="Y92" s="186"/>
      <x:c r="Z92" s="186"/>
    </x:row>
    <x:row r="93">
      <x:c r="A93" s="186"/>
      <x:c r="B93" s="186"/>
      <x:c r="C93" s="186"/>
      <x:c r="D93" s="186"/>
      <x:c r="E93" s="186"/>
      <x:c r="F93" s="186"/>
      <x:c r="G93" s="186"/>
      <x:c r="H93" s="186"/>
      <x:c r="I93" s="186"/>
      <x:c r="J93" s="186"/>
      <x:c r="K93" s="186"/>
      <x:c r="L93" s="186"/>
      <x:c r="M93" s="186"/>
      <x:c r="N93" s="186"/>
      <x:c r="O93" s="186"/>
      <x:c r="P93" s="186"/>
      <x:c r="Q93" s="186"/>
      <x:c r="R93" s="186"/>
      <x:c r="S93" s="186"/>
      <x:c r="T93" s="186"/>
      <x:c r="U93" s="186"/>
      <x:c r="V93" s="186"/>
      <x:c r="W93" s="186"/>
      <x:c r="X93" s="186"/>
      <x:c r="Y93" s="186"/>
      <x:c r="Z93" s="186"/>
    </x:row>
    <x:row r="94">
      <x:c r="A94" s="186"/>
      <x:c r="B94" s="186"/>
      <x:c r="C94" s="186"/>
      <x:c r="D94" s="186"/>
      <x:c r="E94" s="186"/>
      <x:c r="F94" s="186"/>
      <x:c r="G94" s="186"/>
      <x:c r="H94" s="186"/>
      <x:c r="I94" s="186"/>
      <x:c r="J94" s="186"/>
      <x:c r="K94" s="186"/>
      <x:c r="L94" s="186"/>
      <x:c r="M94" s="186"/>
      <x:c r="N94" s="186"/>
      <x:c r="O94" s="186"/>
      <x:c r="P94" s="186"/>
      <x:c r="Q94" s="186"/>
      <x:c r="R94" s="186"/>
      <x:c r="S94" s="186"/>
      <x:c r="T94" s="186"/>
      <x:c r="U94" s="186"/>
      <x:c r="V94" s="186"/>
      <x:c r="W94" s="186"/>
      <x:c r="X94" s="186"/>
      <x:c r="Y94" s="186"/>
      <x:c r="Z94" s="186"/>
    </x:row>
    <x:row r="95">
      <x:c r="A95" s="186"/>
      <x:c r="B95" s="186"/>
      <x:c r="C95" s="186"/>
      <x:c r="D95" s="186"/>
      <x:c r="E95" s="186"/>
      <x:c r="F95" s="186"/>
      <x:c r="G95" s="186"/>
      <x:c r="H95" s="186"/>
      <x:c r="I95" s="186"/>
      <x:c r="J95" s="186"/>
      <x:c r="K95" s="186"/>
      <x:c r="L95" s="186"/>
      <x:c r="M95" s="186"/>
      <x:c r="N95" s="186"/>
      <x:c r="O95" s="186"/>
      <x:c r="P95" s="186"/>
      <x:c r="Q95" s="186"/>
      <x:c r="R95" s="186"/>
      <x:c r="S95" s="186"/>
      <x:c r="T95" s="186"/>
      <x:c r="U95" s="186"/>
      <x:c r="V95" s="186"/>
      <x:c r="W95" s="186"/>
      <x:c r="X95" s="186"/>
      <x:c r="Y95" s="186"/>
      <x:c r="Z95" s="186"/>
    </x:row>
    <x:row r="96">
      <x:c r="A96" s="186"/>
      <x:c r="B96" s="186"/>
      <x:c r="C96" s="186"/>
      <x:c r="D96" s="186"/>
      <x:c r="E96" s="186"/>
      <x:c r="F96" s="186"/>
      <x:c r="G96" s="186"/>
      <x:c r="H96" s="186"/>
      <x:c r="I96" s="186"/>
      <x:c r="J96" s="186"/>
      <x:c r="K96" s="186"/>
      <x:c r="L96" s="186"/>
      <x:c r="M96" s="186"/>
      <x:c r="N96" s="186"/>
      <x:c r="O96" s="186"/>
      <x:c r="P96" s="186"/>
      <x:c r="Q96" s="186"/>
      <x:c r="R96" s="186"/>
      <x:c r="S96" s="186"/>
      <x:c r="T96" s="186"/>
      <x:c r="U96" s="186"/>
      <x:c r="V96" s="186"/>
      <x:c r="W96" s="186"/>
      <x:c r="X96" s="186"/>
      <x:c r="Y96" s="186"/>
      <x:c r="Z96" s="186"/>
    </x:row>
    <x:row r="97">
      <x:c r="A97" s="186"/>
      <x:c r="B97" s="186"/>
      <x:c r="C97" s="186"/>
      <x:c r="D97" s="186"/>
      <x:c r="E97" s="186"/>
      <x:c r="F97" s="186"/>
      <x:c r="G97" s="186"/>
      <x:c r="H97" s="186"/>
      <x:c r="I97" s="186"/>
      <x:c r="J97" s="186"/>
      <x:c r="K97" s="186"/>
      <x:c r="L97" s="186"/>
      <x:c r="M97" s="186"/>
      <x:c r="N97" s="186"/>
      <x:c r="O97" s="186"/>
      <x:c r="P97" s="186"/>
      <x:c r="Q97" s="186"/>
      <x:c r="R97" s="186"/>
      <x:c r="S97" s="186"/>
      <x:c r="T97" s="186"/>
      <x:c r="U97" s="186"/>
      <x:c r="V97" s="186"/>
      <x:c r="W97" s="186"/>
      <x:c r="X97" s="186"/>
      <x:c r="Y97" s="186"/>
      <x:c r="Z97" s="186"/>
    </x:row>
    <x:row r="98">
      <x:c r="A98" s="186"/>
      <x:c r="B98" s="186"/>
      <x:c r="C98" s="186"/>
      <x:c r="D98" s="186"/>
      <x:c r="E98" s="186"/>
      <x:c r="F98" s="186"/>
      <x:c r="G98" s="186"/>
      <x:c r="H98" s="186"/>
      <x:c r="I98" s="186"/>
      <x:c r="J98" s="186"/>
      <x:c r="K98" s="186"/>
      <x:c r="L98" s="186"/>
      <x:c r="M98" s="186"/>
      <x:c r="N98" s="186"/>
      <x:c r="O98" s="186"/>
      <x:c r="P98" s="186"/>
      <x:c r="Q98" s="186"/>
      <x:c r="R98" s="186"/>
      <x:c r="S98" s="186"/>
      <x:c r="T98" s="186"/>
      <x:c r="U98" s="186"/>
      <x:c r="V98" s="186"/>
      <x:c r="W98" s="186"/>
      <x:c r="X98" s="186"/>
      <x:c r="Y98" s="186"/>
      <x:c r="Z98" s="186"/>
    </x:row>
    <x:row r="99">
      <x:c r="A99" s="186"/>
      <x:c r="B99" s="186"/>
      <x:c r="C99" s="186"/>
      <x:c r="D99" s="186"/>
      <x:c r="E99" s="186"/>
      <x:c r="F99" s="186"/>
      <x:c r="G99" s="186"/>
      <x:c r="H99" s="186"/>
      <x:c r="I99" s="186"/>
      <x:c r="J99" s="186"/>
      <x:c r="K99" s="186"/>
      <x:c r="L99" s="186"/>
      <x:c r="M99" s="186"/>
      <x:c r="N99" s="186"/>
      <x:c r="O99" s="186"/>
      <x:c r="P99" s="186"/>
      <x:c r="Q99" s="186"/>
      <x:c r="R99" s="186"/>
      <x:c r="S99" s="186"/>
      <x:c r="T99" s="186"/>
      <x:c r="U99" s="186"/>
      <x:c r="V99" s="186"/>
      <x:c r="W99" s="186"/>
      <x:c r="X99" s="186"/>
      <x:c r="Y99" s="186"/>
      <x:c r="Z99" s="186"/>
    </x:row>
    <x:row r="100">
      <x:c r="A100" s="186"/>
      <x:c r="B100" s="186"/>
      <x:c r="C100" s="186"/>
      <x:c r="D100" s="186"/>
      <x:c r="E100" s="186"/>
      <x:c r="F100" s="186"/>
      <x:c r="G100" s="186"/>
      <x:c r="H100" s="186"/>
      <x:c r="I100" s="186"/>
      <x:c r="J100" s="186"/>
      <x:c r="K100" s="186"/>
      <x:c r="L100" s="186"/>
      <x:c r="M100" s="186"/>
      <x:c r="N100" s="186"/>
      <x:c r="O100" s="186"/>
      <x:c r="P100" s="186"/>
      <x:c r="Q100" s="186"/>
      <x:c r="R100" s="186"/>
      <x:c r="S100" s="186"/>
      <x:c r="T100" s="186"/>
      <x:c r="U100" s="186"/>
      <x:c r="V100" s="186"/>
      <x:c r="W100" s="186"/>
      <x:c r="X100" s="186"/>
      <x:c r="Y100" s="186"/>
      <x:c r="Z100" s="186"/>
    </x:row>
    <x:row r="101">
      <x:c r="A101" s="186"/>
      <x:c r="B101" s="186"/>
      <x:c r="C101" s="186"/>
      <x:c r="D101" s="186"/>
      <x:c r="E101" s="186"/>
      <x:c r="F101" s="186"/>
      <x:c r="G101" s="186"/>
      <x:c r="H101" s="186"/>
      <x:c r="I101" s="186"/>
      <x:c r="J101" s="186"/>
      <x:c r="K101" s="186"/>
      <x:c r="L101" s="186"/>
      <x:c r="M101" s="186"/>
      <x:c r="N101" s="186"/>
      <x:c r="O101" s="186"/>
      <x:c r="P101" s="186"/>
      <x:c r="Q101" s="186"/>
      <x:c r="R101" s="186"/>
      <x:c r="S101" s="186"/>
      <x:c r="T101" s="186"/>
      <x:c r="U101" s="186"/>
      <x:c r="V101" s="186"/>
      <x:c r="W101" s="186"/>
      <x:c r="X101" s="186"/>
      <x:c r="Y101" s="186"/>
      <x:c r="Z101" s="186"/>
    </x:row>
    <x:row r="102">
      <x:c r="A102" s="186"/>
      <x:c r="B102" s="186"/>
      <x:c r="C102" s="186"/>
      <x:c r="D102" s="186"/>
      <x:c r="E102" s="186"/>
      <x:c r="F102" s="186"/>
      <x:c r="G102" s="186"/>
      <x:c r="H102" s="186"/>
      <x:c r="I102" s="186"/>
      <x:c r="J102" s="186"/>
      <x:c r="K102" s="186"/>
      <x:c r="L102" s="186"/>
      <x:c r="M102" s="186"/>
      <x:c r="N102" s="186"/>
      <x:c r="O102" s="186"/>
      <x:c r="P102" s="186"/>
      <x:c r="Q102" s="186"/>
      <x:c r="R102" s="186"/>
      <x:c r="S102" s="186"/>
      <x:c r="T102" s="186"/>
      <x:c r="U102" s="186"/>
      <x:c r="V102" s="186"/>
      <x:c r="W102" s="186"/>
      <x:c r="X102" s="186"/>
      <x:c r="Y102" s="186"/>
      <x:c r="Z102" s="186"/>
    </x:row>
    <x:row r="103">
      <x:c r="A103" s="186"/>
      <x:c r="B103" s="186"/>
      <x:c r="C103" s="186"/>
      <x:c r="D103" s="186"/>
      <x:c r="E103" s="186"/>
      <x:c r="F103" s="186"/>
      <x:c r="G103" s="186"/>
      <x:c r="H103" s="186"/>
      <x:c r="I103" s="186"/>
      <x:c r="J103" s="186"/>
      <x:c r="K103" s="186"/>
      <x:c r="L103" s="186"/>
      <x:c r="M103" s="186"/>
      <x:c r="N103" s="186"/>
      <x:c r="O103" s="186"/>
      <x:c r="P103" s="186"/>
      <x:c r="Q103" s="186"/>
      <x:c r="R103" s="186"/>
      <x:c r="S103" s="186"/>
      <x:c r="T103" s="186"/>
      <x:c r="U103" s="186"/>
      <x:c r="V103" s="186"/>
      <x:c r="W103" s="186"/>
      <x:c r="X103" s="186"/>
      <x:c r="Y103" s="186"/>
      <x:c r="Z103" s="186"/>
    </x:row>
    <x:row r="104">
      <x:c r="A104" s="186"/>
      <x:c r="B104" s="186"/>
      <x:c r="C104" s="186"/>
      <x:c r="D104" s="186"/>
      <x:c r="E104" s="186"/>
      <x:c r="F104" s="186"/>
      <x:c r="G104" s="186"/>
      <x:c r="H104" s="186"/>
      <x:c r="I104" s="186"/>
      <x:c r="J104" s="186"/>
      <x:c r="K104" s="186"/>
      <x:c r="L104" s="186"/>
      <x:c r="M104" s="186"/>
      <x:c r="N104" s="186"/>
      <x:c r="O104" s="186"/>
      <x:c r="P104" s="186"/>
      <x:c r="Q104" s="186"/>
      <x:c r="R104" s="186"/>
      <x:c r="S104" s="186"/>
      <x:c r="T104" s="186"/>
      <x:c r="U104" s="186"/>
      <x:c r="V104" s="186"/>
      <x:c r="W104" s="186"/>
      <x:c r="X104" s="186"/>
      <x:c r="Y104" s="186"/>
      <x:c r="Z104" s="186"/>
    </x:row>
    <x:row r="105">
      <x:c r="A105" s="186"/>
      <x:c r="B105" s="186"/>
      <x:c r="C105" s="186"/>
      <x:c r="D105" s="186"/>
      <x:c r="E105" s="186"/>
      <x:c r="F105" s="186"/>
      <x:c r="G105" s="186"/>
      <x:c r="H105" s="186"/>
      <x:c r="I105" s="186"/>
      <x:c r="J105" s="186"/>
      <x:c r="K105" s="186"/>
      <x:c r="L105" s="186"/>
      <x:c r="M105" s="186"/>
      <x:c r="N105" s="186"/>
      <x:c r="O105" s="186"/>
      <x:c r="P105" s="186"/>
      <x:c r="Q105" s="186"/>
      <x:c r="R105" s="186"/>
      <x:c r="S105" s="186"/>
      <x:c r="T105" s="186"/>
      <x:c r="U105" s="186"/>
      <x:c r="V105" s="186"/>
      <x:c r="W105" s="186"/>
      <x:c r="X105" s="186"/>
      <x:c r="Y105" s="186"/>
      <x:c r="Z105" s="186"/>
    </x:row>
    <x:row r="106">
      <x:c r="A106" s="186"/>
      <x:c r="B106" s="186"/>
      <x:c r="C106" s="186"/>
      <x:c r="D106" s="186"/>
      <x:c r="E106" s="186"/>
      <x:c r="F106" s="186"/>
      <x:c r="G106" s="186"/>
      <x:c r="H106" s="186"/>
      <x:c r="I106" s="186"/>
      <x:c r="J106" s="186"/>
      <x:c r="K106" s="186"/>
      <x:c r="L106" s="186"/>
      <x:c r="M106" s="186"/>
      <x:c r="N106" s="186"/>
      <x:c r="O106" s="186"/>
      <x:c r="P106" s="186"/>
      <x:c r="Q106" s="186"/>
      <x:c r="R106" s="186"/>
      <x:c r="S106" s="186"/>
      <x:c r="T106" s="186"/>
      <x:c r="U106" s="186"/>
      <x:c r="V106" s="186"/>
      <x:c r="W106" s="186"/>
      <x:c r="X106" s="186"/>
      <x:c r="Y106" s="186"/>
      <x:c r="Z106" s="186"/>
    </x:row>
    <x:row r="107">
      <x:c r="A107" s="186"/>
      <x:c r="B107" s="186"/>
      <x:c r="C107" s="186"/>
      <x:c r="D107" s="186"/>
      <x:c r="E107" s="186"/>
      <x:c r="F107" s="186"/>
      <x:c r="G107" s="186"/>
      <x:c r="H107" s="186"/>
      <x:c r="I107" s="186"/>
      <x:c r="J107" s="186"/>
      <x:c r="K107" s="186"/>
      <x:c r="L107" s="186"/>
      <x:c r="M107" s="186"/>
      <x:c r="N107" s="186"/>
      <x:c r="O107" s="186"/>
      <x:c r="P107" s="186"/>
      <x:c r="Q107" s="186"/>
      <x:c r="R107" s="186"/>
      <x:c r="S107" s="186"/>
      <x:c r="T107" s="186"/>
      <x:c r="U107" s="186"/>
      <x:c r="V107" s="186"/>
      <x:c r="W107" s="186"/>
      <x:c r="X107" s="186"/>
      <x:c r="Y107" s="186"/>
      <x:c r="Z107" s="186"/>
    </x:row>
    <x:row r="108">
      <x:c r="A108" s="186"/>
      <x:c r="B108" s="186"/>
      <x:c r="C108" s="186"/>
      <x:c r="D108" s="186"/>
      <x:c r="E108" s="186"/>
      <x:c r="F108" s="186"/>
      <x:c r="G108" s="186"/>
      <x:c r="H108" s="186"/>
      <x:c r="I108" s="186"/>
      <x:c r="J108" s="186"/>
      <x:c r="K108" s="186"/>
      <x:c r="L108" s="186"/>
      <x:c r="M108" s="186"/>
      <x:c r="N108" s="186"/>
      <x:c r="O108" s="186"/>
      <x:c r="P108" s="186"/>
      <x:c r="Q108" s="186"/>
      <x:c r="R108" s="186"/>
      <x:c r="S108" s="186"/>
      <x:c r="T108" s="186"/>
      <x:c r="U108" s="186"/>
      <x:c r="V108" s="186"/>
      <x:c r="W108" s="186"/>
      <x:c r="X108" s="186"/>
      <x:c r="Y108" s="186"/>
      <x:c r="Z108" s="186"/>
    </x:row>
    <x:row r="109">
      <x:c r="A109" s="186"/>
      <x:c r="B109" s="186"/>
      <x:c r="C109" s="186"/>
      <x:c r="D109" s="186"/>
      <x:c r="E109" s="186"/>
      <x:c r="F109" s="186"/>
      <x:c r="G109" s="186"/>
      <x:c r="H109" s="186"/>
      <x:c r="I109" s="186"/>
      <x:c r="J109" s="186"/>
      <x:c r="K109" s="186"/>
      <x:c r="L109" s="186"/>
      <x:c r="M109" s="186"/>
      <x:c r="N109" s="186"/>
      <x:c r="O109" s="186"/>
      <x:c r="P109" s="186"/>
      <x:c r="Q109" s="186"/>
      <x:c r="R109" s="186"/>
      <x:c r="S109" s="186"/>
      <x:c r="T109" s="186"/>
      <x:c r="U109" s="186"/>
      <x:c r="V109" s="186"/>
      <x:c r="W109" s="186"/>
      <x:c r="X109" s="186"/>
      <x:c r="Y109" s="186"/>
      <x:c r="Z109" s="186"/>
    </x:row>
    <x:row r="110">
      <x:c r="A110" s="186"/>
      <x:c r="B110" s="186"/>
      <x:c r="C110" s="186"/>
      <x:c r="D110" s="186"/>
      <x:c r="E110" s="186"/>
      <x:c r="F110" s="186"/>
      <x:c r="G110" s="186"/>
      <x:c r="H110" s="186"/>
      <x:c r="I110" s="186"/>
      <x:c r="J110" s="186"/>
      <x:c r="K110" s="186"/>
      <x:c r="L110" s="186"/>
      <x:c r="M110" s="186"/>
      <x:c r="N110" s="186"/>
      <x:c r="O110" s="186"/>
      <x:c r="P110" s="186"/>
      <x:c r="Q110" s="186"/>
      <x:c r="R110" s="186"/>
      <x:c r="S110" s="186"/>
      <x:c r="T110" s="186"/>
      <x:c r="U110" s="186"/>
      <x:c r="V110" s="186"/>
      <x:c r="W110" s="186"/>
      <x:c r="X110" s="186"/>
      <x:c r="Y110" s="186"/>
      <x:c r="Z110" s="186"/>
    </x:row>
    <x:row r="111">
      <x:c r="A111" s="186"/>
      <x:c r="B111" s="186"/>
      <x:c r="C111" s="186"/>
      <x:c r="D111" s="186"/>
      <x:c r="E111" s="186"/>
      <x:c r="F111" s="186"/>
      <x:c r="G111" s="186"/>
      <x:c r="H111" s="186"/>
      <x:c r="I111" s="186"/>
      <x:c r="J111" s="186"/>
      <x:c r="K111" s="186"/>
      <x:c r="L111" s="186"/>
      <x:c r="M111" s="186"/>
      <x:c r="N111" s="186"/>
      <x:c r="O111" s="186"/>
      <x:c r="P111" s="186"/>
      <x:c r="Q111" s="186"/>
      <x:c r="R111" s="186"/>
      <x:c r="S111" s="186"/>
      <x:c r="T111" s="186"/>
      <x:c r="U111" s="186"/>
      <x:c r="V111" s="186"/>
      <x:c r="W111" s="186"/>
      <x:c r="X111" s="186"/>
      <x:c r="Y111" s="186"/>
      <x:c r="Z111" s="186"/>
    </x:row>
    <x:row r="112">
      <x:c r="A112" s="186"/>
      <x:c r="B112" s="186"/>
      <x:c r="C112" s="186"/>
      <x:c r="D112" s="186"/>
      <x:c r="E112" s="186"/>
      <x:c r="F112" s="186"/>
      <x:c r="G112" s="186"/>
      <x:c r="H112" s="186"/>
      <x:c r="I112" s="186"/>
      <x:c r="J112" s="186"/>
      <x:c r="K112" s="186"/>
      <x:c r="L112" s="186"/>
      <x:c r="M112" s="186"/>
      <x:c r="N112" s="186"/>
      <x:c r="O112" s="186"/>
      <x:c r="P112" s="186"/>
      <x:c r="Q112" s="186"/>
      <x:c r="R112" s="186"/>
      <x:c r="S112" s="186"/>
      <x:c r="T112" s="186"/>
      <x:c r="U112" s="186"/>
      <x:c r="V112" s="186"/>
      <x:c r="W112" s="186"/>
      <x:c r="X112" s="186"/>
      <x:c r="Y112" s="186"/>
      <x:c r="Z112" s="186"/>
    </x:row>
    <x:row r="113">
      <x:c r="A113" s="186"/>
      <x:c r="B113" s="186"/>
      <x:c r="C113" s="186"/>
      <x:c r="D113" s="186"/>
      <x:c r="E113" s="186"/>
      <x:c r="F113" s="186"/>
      <x:c r="G113" s="186"/>
      <x:c r="H113" s="186"/>
      <x:c r="I113" s="186"/>
      <x:c r="J113" s="186"/>
      <x:c r="K113" s="186"/>
      <x:c r="L113" s="186"/>
      <x:c r="M113" s="186"/>
      <x:c r="N113" s="186"/>
      <x:c r="O113" s="186"/>
      <x:c r="P113" s="186"/>
      <x:c r="Q113" s="186"/>
      <x:c r="R113" s="186"/>
      <x:c r="S113" s="186"/>
      <x:c r="T113" s="186"/>
      <x:c r="U113" s="186"/>
      <x:c r="V113" s="186"/>
      <x:c r="W113" s="186"/>
      <x:c r="X113" s="186"/>
      <x:c r="Y113" s="186"/>
      <x:c r="Z113" s="186"/>
    </x:row>
    <x:row r="114">
      <x:c r="A114" s="186"/>
      <x:c r="B114" s="186"/>
      <x:c r="C114" s="186"/>
      <x:c r="D114" s="186"/>
      <x:c r="E114" s="186"/>
      <x:c r="F114" s="186"/>
      <x:c r="G114" s="186"/>
      <x:c r="H114" s="186"/>
      <x:c r="I114" s="186"/>
      <x:c r="J114" s="186"/>
      <x:c r="K114" s="186"/>
      <x:c r="L114" s="186"/>
      <x:c r="M114" s="186"/>
      <x:c r="N114" s="186"/>
      <x:c r="O114" s="186"/>
      <x:c r="P114" s="186"/>
      <x:c r="Q114" s="186"/>
      <x:c r="R114" s="186"/>
      <x:c r="S114" s="186"/>
      <x:c r="T114" s="186"/>
      <x:c r="U114" s="186"/>
      <x:c r="V114" s="186"/>
      <x:c r="W114" s="186"/>
      <x:c r="X114" s="186"/>
      <x:c r="Y114" s="186"/>
      <x:c r="Z114" s="186"/>
    </x:row>
    <x:row r="115">
      <x:c r="A115" s="186"/>
      <x:c r="B115" s="186"/>
      <x:c r="C115" s="186"/>
      <x:c r="D115" s="186"/>
      <x:c r="E115" s="186"/>
      <x:c r="F115" s="186"/>
      <x:c r="G115" s="186"/>
      <x:c r="H115" s="186"/>
      <x:c r="I115" s="186"/>
      <x:c r="J115" s="186"/>
      <x:c r="K115" s="186"/>
      <x:c r="L115" s="186"/>
      <x:c r="M115" s="186"/>
      <x:c r="N115" s="186"/>
      <x:c r="O115" s="186"/>
      <x:c r="P115" s="186"/>
      <x:c r="Q115" s="186"/>
      <x:c r="R115" s="186"/>
      <x:c r="S115" s="186"/>
      <x:c r="T115" s="186"/>
      <x:c r="U115" s="186"/>
      <x:c r="V115" s="186"/>
      <x:c r="W115" s="186"/>
      <x:c r="X115" s="186"/>
      <x:c r="Y115" s="186"/>
      <x:c r="Z115" s="186"/>
    </x:row>
    <x:row r="116">
      <x:c r="A116" s="186"/>
      <x:c r="B116" s="186"/>
      <x:c r="C116" s="186"/>
      <x:c r="D116" s="186"/>
      <x:c r="E116" s="186"/>
      <x:c r="F116" s="186"/>
      <x:c r="G116" s="186"/>
      <x:c r="H116" s="186"/>
      <x:c r="I116" s="186"/>
      <x:c r="J116" s="186"/>
      <x:c r="K116" s="186"/>
      <x:c r="L116" s="186"/>
      <x:c r="M116" s="186"/>
      <x:c r="N116" s="186"/>
      <x:c r="O116" s="186"/>
      <x:c r="P116" s="186"/>
      <x:c r="Q116" s="186"/>
      <x:c r="R116" s="186"/>
      <x:c r="S116" s="186"/>
      <x:c r="T116" s="186"/>
      <x:c r="U116" s="186"/>
      <x:c r="V116" s="186"/>
      <x:c r="W116" s="186"/>
      <x:c r="X116" s="186"/>
      <x:c r="Y116" s="186"/>
      <x:c r="Z116" s="186"/>
    </x:row>
    <x:row r="117">
      <x:c r="A117" s="186"/>
      <x:c r="B117" s="186"/>
      <x:c r="C117" s="186"/>
      <x:c r="D117" s="186"/>
      <x:c r="E117" s="186"/>
      <x:c r="F117" s="186"/>
      <x:c r="G117" s="186"/>
      <x:c r="H117" s="186"/>
      <x:c r="I117" s="186"/>
      <x:c r="J117" s="186"/>
      <x:c r="K117" s="186"/>
      <x:c r="L117" s="186"/>
      <x:c r="M117" s="186"/>
      <x:c r="N117" s="186"/>
      <x:c r="O117" s="186"/>
      <x:c r="P117" s="186"/>
      <x:c r="Q117" s="186"/>
      <x:c r="R117" s="186"/>
      <x:c r="S117" s="186"/>
      <x:c r="T117" s="186"/>
      <x:c r="U117" s="186"/>
      <x:c r="V117" s="186"/>
      <x:c r="W117" s="186"/>
      <x:c r="X117" s="186"/>
      <x:c r="Y117" s="186"/>
      <x:c r="Z117" s="186"/>
    </x:row>
    <x:row r="118">
      <x:c r="A118" s="186"/>
      <x:c r="B118" s="186"/>
      <x:c r="C118" s="186"/>
      <x:c r="D118" s="186"/>
      <x:c r="E118" s="186"/>
      <x:c r="F118" s="186"/>
      <x:c r="G118" s="186"/>
      <x:c r="H118" s="186"/>
      <x:c r="I118" s="186"/>
      <x:c r="J118" s="186"/>
      <x:c r="K118" s="186"/>
      <x:c r="L118" s="186"/>
      <x:c r="M118" s="186"/>
      <x:c r="N118" s="186"/>
      <x:c r="O118" s="186"/>
      <x:c r="P118" s="186"/>
      <x:c r="Q118" s="186"/>
      <x:c r="R118" s="186"/>
      <x:c r="S118" s="186"/>
      <x:c r="T118" s="186"/>
      <x:c r="U118" s="186"/>
      <x:c r="V118" s="186"/>
      <x:c r="W118" s="186"/>
      <x:c r="X118" s="186"/>
      <x:c r="Y118" s="186"/>
      <x:c r="Z118" s="186"/>
    </x:row>
    <x:row r="119">
      <x:c r="A119" s="186"/>
      <x:c r="B119" s="186"/>
      <x:c r="C119" s="186"/>
      <x:c r="D119" s="186"/>
      <x:c r="E119" s="186"/>
      <x:c r="F119" s="186"/>
      <x:c r="G119" s="186"/>
      <x:c r="H119" s="186"/>
      <x:c r="I119" s="186"/>
      <x:c r="J119" s="186"/>
      <x:c r="K119" s="186"/>
      <x:c r="L119" s="186"/>
      <x:c r="M119" s="186"/>
      <x:c r="N119" s="186"/>
      <x:c r="O119" s="186"/>
      <x:c r="P119" s="186"/>
      <x:c r="Q119" s="186"/>
      <x:c r="R119" s="186"/>
      <x:c r="S119" s="186"/>
      <x:c r="T119" s="186"/>
      <x:c r="U119" s="186"/>
      <x:c r="V119" s="186"/>
      <x:c r="W119" s="186"/>
      <x:c r="X119" s="186"/>
      <x:c r="Y119" s="186"/>
      <x:c r="Z119" s="186"/>
    </x:row>
    <x:row r="120">
      <x:c r="A120" s="186"/>
      <x:c r="B120" s="186"/>
      <x:c r="C120" s="186"/>
      <x:c r="D120" s="186"/>
      <x:c r="E120" s="186"/>
      <x:c r="F120" s="186"/>
      <x:c r="G120" s="186"/>
      <x:c r="H120" s="186"/>
      <x:c r="I120" s="186"/>
      <x:c r="J120" s="186"/>
      <x:c r="K120" s="186"/>
      <x:c r="L120" s="186"/>
      <x:c r="M120" s="186"/>
      <x:c r="N120" s="186"/>
      <x:c r="O120" s="186"/>
      <x:c r="P120" s="186"/>
      <x:c r="Q120" s="186"/>
      <x:c r="R120" s="186"/>
      <x:c r="S120" s="186"/>
      <x:c r="T120" s="186"/>
      <x:c r="U120" s="186"/>
      <x:c r="V120" s="186"/>
      <x:c r="W120" s="186"/>
      <x:c r="X120" s="186"/>
      <x:c r="Y120" s="186"/>
      <x:c r="Z120" s="186"/>
    </x:row>
    <x:row r="121">
      <x:c r="A121" s="186"/>
      <x:c r="B121" s="186"/>
      <x:c r="C121" s="186"/>
      <x:c r="D121" s="186"/>
      <x:c r="E121" s="186"/>
      <x:c r="F121" s="186"/>
      <x:c r="G121" s="186"/>
      <x:c r="H121" s="186"/>
      <x:c r="I121" s="186"/>
      <x:c r="J121" s="186"/>
      <x:c r="K121" s="186"/>
      <x:c r="L121" s="186"/>
      <x:c r="M121" s="186"/>
      <x:c r="N121" s="186"/>
      <x:c r="O121" s="186"/>
      <x:c r="P121" s="186"/>
      <x:c r="Q121" s="186"/>
      <x:c r="R121" s="186"/>
      <x:c r="S121" s="186"/>
      <x:c r="T121" s="186"/>
      <x:c r="U121" s="186"/>
      <x:c r="V121" s="186"/>
      <x:c r="W121" s="186"/>
      <x:c r="X121" s="186"/>
      <x:c r="Y121" s="186"/>
      <x:c r="Z121" s="186"/>
    </x:row>
    <x:row r="122">
      <x:c r="A122" s="186"/>
      <x:c r="B122" s="186"/>
      <x:c r="C122" s="186"/>
      <x:c r="D122" s="186"/>
      <x:c r="E122" s="186"/>
      <x:c r="F122" s="186"/>
      <x:c r="G122" s="186"/>
      <x:c r="H122" s="186"/>
      <x:c r="I122" s="186"/>
      <x:c r="J122" s="186"/>
      <x:c r="K122" s="186"/>
      <x:c r="L122" s="186"/>
      <x:c r="M122" s="186"/>
      <x:c r="N122" s="186"/>
      <x:c r="O122" s="186"/>
      <x:c r="P122" s="186"/>
      <x:c r="Q122" s="186"/>
      <x:c r="R122" s="186"/>
      <x:c r="S122" s="186"/>
      <x:c r="T122" s="186"/>
      <x:c r="U122" s="186"/>
      <x:c r="V122" s="186"/>
      <x:c r="W122" s="186"/>
      <x:c r="X122" s="186"/>
      <x:c r="Y122" s="186"/>
      <x:c r="Z122" s="186"/>
    </x:row>
    <x:row r="123">
      <x:c r="A123" s="186"/>
      <x:c r="B123" s="186"/>
      <x:c r="C123" s="186"/>
      <x:c r="D123" s="186"/>
      <x:c r="E123" s="186"/>
      <x:c r="F123" s="186"/>
      <x:c r="G123" s="186"/>
      <x:c r="H123" s="186"/>
      <x:c r="I123" s="186"/>
      <x:c r="J123" s="186"/>
      <x:c r="K123" s="186"/>
      <x:c r="L123" s="186"/>
      <x:c r="M123" s="186"/>
      <x:c r="N123" s="186"/>
      <x:c r="O123" s="186"/>
      <x:c r="P123" s="186"/>
      <x:c r="Q123" s="186"/>
      <x:c r="R123" s="186"/>
      <x:c r="S123" s="186"/>
      <x:c r="T123" s="186"/>
      <x:c r="U123" s="186"/>
      <x:c r="V123" s="186"/>
      <x:c r="W123" s="186"/>
      <x:c r="X123" s="186"/>
      <x:c r="Y123" s="186"/>
      <x:c r="Z123" s="186"/>
    </x:row>
    <x:row r="124">
      <x:c r="A124" s="186"/>
      <x:c r="B124" s="186"/>
      <x:c r="C124" s="186"/>
      <x:c r="D124" s="186"/>
      <x:c r="E124" s="186"/>
      <x:c r="F124" s="186"/>
      <x:c r="G124" s="186"/>
      <x:c r="H124" s="186"/>
      <x:c r="I124" s="186"/>
      <x:c r="J124" s="186"/>
      <x:c r="K124" s="186"/>
      <x:c r="L124" s="186"/>
      <x:c r="M124" s="186"/>
      <x:c r="N124" s="186"/>
      <x:c r="O124" s="186"/>
      <x:c r="P124" s="186"/>
      <x:c r="Q124" s="186"/>
      <x:c r="R124" s="186"/>
      <x:c r="S124" s="186"/>
      <x:c r="T124" s="186"/>
      <x:c r="U124" s="186"/>
      <x:c r="V124" s="186"/>
      <x:c r="W124" s="186"/>
      <x:c r="X124" s="186"/>
      <x:c r="Y124" s="186"/>
      <x:c r="Z124" s="186"/>
    </x:row>
    <x:row r="125">
      <x:c r="A125" s="186"/>
      <x:c r="B125" s="186"/>
      <x:c r="C125" s="186"/>
      <x:c r="D125" s="186"/>
      <x:c r="E125" s="186"/>
      <x:c r="F125" s="186"/>
      <x:c r="G125" s="186"/>
      <x:c r="H125" s="186"/>
      <x:c r="I125" s="186"/>
      <x:c r="J125" s="186"/>
      <x:c r="K125" s="186"/>
      <x:c r="L125" s="186"/>
      <x:c r="M125" s="186"/>
      <x:c r="N125" s="186"/>
      <x:c r="O125" s="186"/>
      <x:c r="P125" s="186"/>
      <x:c r="Q125" s="186"/>
      <x:c r="R125" s="186"/>
      <x:c r="S125" s="186"/>
      <x:c r="T125" s="186"/>
      <x:c r="U125" s="186"/>
      <x:c r="V125" s="186"/>
      <x:c r="W125" s="186"/>
      <x:c r="X125" s="186"/>
      <x:c r="Y125" s="186"/>
      <x:c r="Z125" s="186"/>
    </x:row>
    <x:row r="126">
      <x:c r="A126" s="186"/>
      <x:c r="B126" s="186"/>
      <x:c r="C126" s="186"/>
      <x:c r="D126" s="186"/>
      <x:c r="E126" s="186"/>
      <x:c r="F126" s="186"/>
      <x:c r="G126" s="186"/>
      <x:c r="H126" s="186"/>
      <x:c r="I126" s="186"/>
      <x:c r="J126" s="186"/>
      <x:c r="K126" s="186"/>
      <x:c r="L126" s="186"/>
      <x:c r="M126" s="186"/>
      <x:c r="N126" s="186"/>
      <x:c r="O126" s="186"/>
      <x:c r="P126" s="186"/>
      <x:c r="Q126" s="186"/>
      <x:c r="R126" s="186"/>
      <x:c r="S126" s="186"/>
      <x:c r="T126" s="186"/>
      <x:c r="U126" s="186"/>
      <x:c r="V126" s="186"/>
      <x:c r="W126" s="186"/>
      <x:c r="X126" s="186"/>
      <x:c r="Y126" s="186"/>
      <x:c r="Z126" s="186"/>
    </x:row>
    <x:row r="127">
      <x:c r="A127" s="186"/>
      <x:c r="B127" s="186"/>
      <x:c r="C127" s="186"/>
      <x:c r="D127" s="186"/>
      <x:c r="E127" s="186"/>
      <x:c r="F127" s="186"/>
      <x:c r="G127" s="186"/>
      <x:c r="H127" s="186"/>
      <x:c r="I127" s="186"/>
      <x:c r="J127" s="186"/>
      <x:c r="K127" s="186"/>
      <x:c r="L127" s="186"/>
      <x:c r="M127" s="186"/>
      <x:c r="N127" s="186"/>
      <x:c r="O127" s="186"/>
      <x:c r="P127" s="186"/>
      <x:c r="Q127" s="186"/>
      <x:c r="R127" s="186"/>
      <x:c r="S127" s="186"/>
      <x:c r="T127" s="186"/>
      <x:c r="U127" s="186"/>
      <x:c r="V127" s="186"/>
      <x:c r="W127" s="186"/>
      <x:c r="X127" s="186"/>
      <x:c r="Y127" s="186"/>
      <x:c r="Z127" s="186"/>
    </x:row>
    <x:row r="128">
      <x:c r="A128" s="186"/>
      <x:c r="B128" s="186"/>
      <x:c r="C128" s="186"/>
      <x:c r="D128" s="186"/>
      <x:c r="E128" s="186"/>
      <x:c r="F128" s="186"/>
      <x:c r="G128" s="186"/>
      <x:c r="H128" s="186"/>
      <x:c r="I128" s="186"/>
      <x:c r="J128" s="186"/>
      <x:c r="K128" s="186"/>
      <x:c r="L128" s="186"/>
      <x:c r="M128" s="186"/>
      <x:c r="N128" s="186"/>
      <x:c r="O128" s="186"/>
      <x:c r="P128" s="186"/>
      <x:c r="Q128" s="186"/>
      <x:c r="R128" s="186"/>
      <x:c r="S128" s="186"/>
      <x:c r="T128" s="186"/>
      <x:c r="U128" s="186"/>
      <x:c r="V128" s="186"/>
      <x:c r="W128" s="186"/>
      <x:c r="X128" s="186"/>
      <x:c r="Y128" s="186"/>
      <x:c r="Z128" s="186"/>
    </x:row>
    <x:row r="129">
      <x:c r="A129" s="186"/>
      <x:c r="B129" s="186"/>
      <x:c r="C129" s="186"/>
      <x:c r="D129" s="186"/>
      <x:c r="E129" s="186"/>
      <x:c r="F129" s="186"/>
      <x:c r="G129" s="186"/>
      <x:c r="H129" s="186"/>
      <x:c r="I129" s="186"/>
      <x:c r="J129" s="186"/>
      <x:c r="K129" s="186"/>
      <x:c r="L129" s="186"/>
      <x:c r="M129" s="186"/>
      <x:c r="N129" s="186"/>
      <x:c r="O129" s="186"/>
      <x:c r="P129" s="186"/>
      <x:c r="Q129" s="186"/>
      <x:c r="R129" s="186"/>
      <x:c r="S129" s="186"/>
      <x:c r="T129" s="186"/>
      <x:c r="U129" s="186"/>
      <x:c r="V129" s="186"/>
      <x:c r="W129" s="186"/>
      <x:c r="X129" s="186"/>
      <x:c r="Y129" s="186"/>
      <x:c r="Z129" s="186"/>
    </x:row>
    <x:row r="130">
      <x:c r="A130" s="186"/>
      <x:c r="B130" s="186"/>
      <x:c r="C130" s="186"/>
      <x:c r="D130" s="186"/>
      <x:c r="E130" s="186"/>
      <x:c r="F130" s="186"/>
      <x:c r="G130" s="186"/>
      <x:c r="H130" s="186"/>
      <x:c r="I130" s="186"/>
      <x:c r="J130" s="186"/>
      <x:c r="K130" s="186"/>
      <x:c r="L130" s="186"/>
      <x:c r="M130" s="186"/>
      <x:c r="N130" s="186"/>
      <x:c r="O130" s="186"/>
      <x:c r="P130" s="186"/>
      <x:c r="Q130" s="186"/>
      <x:c r="R130" s="186"/>
      <x:c r="S130" s="186"/>
      <x:c r="T130" s="186"/>
      <x:c r="U130" s="186"/>
      <x:c r="V130" s="186"/>
      <x:c r="W130" s="186"/>
      <x:c r="X130" s="186"/>
      <x:c r="Y130" s="186"/>
      <x:c r="Z130" s="186"/>
    </x:row>
    <x:row r="131">
      <x:c r="A131" s="186"/>
      <x:c r="B131" s="186"/>
      <x:c r="C131" s="186"/>
      <x:c r="D131" s="186"/>
      <x:c r="E131" s="186"/>
      <x:c r="F131" s="186"/>
      <x:c r="G131" s="186"/>
      <x:c r="H131" s="186"/>
      <x:c r="I131" s="186"/>
      <x:c r="J131" s="186"/>
      <x:c r="K131" s="186"/>
      <x:c r="L131" s="186"/>
      <x:c r="M131" s="186"/>
      <x:c r="N131" s="186"/>
      <x:c r="O131" s="186"/>
      <x:c r="P131" s="186"/>
      <x:c r="Q131" s="186"/>
      <x:c r="R131" s="186"/>
      <x:c r="S131" s="186"/>
      <x:c r="T131" s="186"/>
      <x:c r="U131" s="186"/>
      <x:c r="V131" s="186"/>
      <x:c r="W131" s="186"/>
      <x:c r="X131" s="186"/>
      <x:c r="Y131" s="186"/>
      <x:c r="Z131" s="186"/>
    </x:row>
    <x:row r="132">
      <x:c r="A132" s="186"/>
      <x:c r="B132" s="186"/>
      <x:c r="C132" s="186"/>
      <x:c r="D132" s="186"/>
      <x:c r="E132" s="186"/>
      <x:c r="F132" s="186"/>
      <x:c r="G132" s="186"/>
      <x:c r="H132" s="186"/>
      <x:c r="I132" s="186"/>
      <x:c r="J132" s="186"/>
      <x:c r="K132" s="186"/>
      <x:c r="L132" s="186"/>
      <x:c r="M132" s="186"/>
      <x:c r="N132" s="186"/>
      <x:c r="O132" s="186"/>
      <x:c r="P132" s="186"/>
      <x:c r="Q132" s="186"/>
      <x:c r="R132" s="186"/>
      <x:c r="S132" s="186"/>
      <x:c r="T132" s="186"/>
      <x:c r="U132" s="186"/>
      <x:c r="V132" s="186"/>
      <x:c r="W132" s="186"/>
      <x:c r="X132" s="186"/>
      <x:c r="Y132" s="186"/>
      <x:c r="Z132" s="186"/>
    </x:row>
    <x:row r="133">
      <x:c r="A133" s="186"/>
      <x:c r="B133" s="186"/>
      <x:c r="C133" s="186"/>
      <x:c r="D133" s="186"/>
      <x:c r="E133" s="186"/>
      <x:c r="F133" s="186"/>
      <x:c r="G133" s="186"/>
      <x:c r="H133" s="186"/>
      <x:c r="I133" s="186"/>
      <x:c r="J133" s="186"/>
      <x:c r="K133" s="186"/>
      <x:c r="L133" s="186"/>
      <x:c r="M133" s="186"/>
      <x:c r="N133" s="186"/>
      <x:c r="O133" s="186"/>
      <x:c r="P133" s="186"/>
      <x:c r="Q133" s="186"/>
      <x:c r="R133" s="186"/>
      <x:c r="S133" s="186"/>
      <x:c r="T133" s="186"/>
      <x:c r="U133" s="186"/>
      <x:c r="V133" s="186"/>
      <x:c r="W133" s="186"/>
      <x:c r="X133" s="186"/>
      <x:c r="Y133" s="186"/>
      <x:c r="Z133" s="186"/>
    </x:row>
    <x:row r="134">
      <x:c r="A134" s="186"/>
      <x:c r="B134" s="186"/>
      <x:c r="C134" s="186"/>
      <x:c r="D134" s="186"/>
      <x:c r="E134" s="186"/>
      <x:c r="F134" s="186"/>
      <x:c r="G134" s="186"/>
      <x:c r="H134" s="186"/>
      <x:c r="I134" s="186"/>
      <x:c r="J134" s="186"/>
      <x:c r="K134" s="186"/>
      <x:c r="L134" s="186"/>
      <x:c r="M134" s="186"/>
      <x:c r="N134" s="186"/>
      <x:c r="O134" s="186"/>
      <x:c r="P134" s="186"/>
      <x:c r="Q134" s="186"/>
      <x:c r="R134" s="186"/>
      <x:c r="S134" s="186"/>
      <x:c r="T134" s="186"/>
      <x:c r="U134" s="186"/>
      <x:c r="V134" s="186"/>
      <x:c r="W134" s="186"/>
      <x:c r="X134" s="186"/>
      <x:c r="Y134" s="186"/>
      <x:c r="Z134" s="186"/>
    </x:row>
    <x:row r="135">
      <x:c r="A135" s="186"/>
      <x:c r="B135" s="186"/>
      <x:c r="C135" s="186"/>
      <x:c r="D135" s="186"/>
      <x:c r="E135" s="186"/>
      <x:c r="F135" s="186"/>
      <x:c r="G135" s="186"/>
      <x:c r="H135" s="186"/>
      <x:c r="I135" s="186"/>
      <x:c r="J135" s="186"/>
      <x:c r="K135" s="186"/>
      <x:c r="L135" s="186"/>
      <x:c r="M135" s="186"/>
      <x:c r="N135" s="186"/>
      <x:c r="O135" s="186"/>
      <x:c r="P135" s="186"/>
      <x:c r="Q135" s="186"/>
      <x:c r="R135" s="186"/>
      <x:c r="S135" s="186"/>
      <x:c r="T135" s="186"/>
      <x:c r="U135" s="186"/>
      <x:c r="V135" s="186"/>
      <x:c r="W135" s="186"/>
      <x:c r="X135" s="186"/>
      <x:c r="Y135" s="186"/>
      <x:c r="Z135" s="186"/>
    </x:row>
    <x:row r="136">
      <x:c r="A136" s="186"/>
      <x:c r="B136" s="186"/>
      <x:c r="C136" s="186"/>
      <x:c r="D136" s="186"/>
      <x:c r="E136" s="186"/>
      <x:c r="F136" s="186"/>
      <x:c r="G136" s="186"/>
      <x:c r="H136" s="186"/>
      <x:c r="I136" s="186"/>
      <x:c r="J136" s="186"/>
      <x:c r="K136" s="186"/>
      <x:c r="L136" s="186"/>
      <x:c r="M136" s="186"/>
      <x:c r="N136" s="186"/>
      <x:c r="O136" s="186"/>
      <x:c r="P136" s="186"/>
      <x:c r="Q136" s="186"/>
      <x:c r="R136" s="186"/>
      <x:c r="S136" s="186"/>
      <x:c r="T136" s="186"/>
      <x:c r="U136" s="186"/>
      <x:c r="V136" s="186"/>
      <x:c r="W136" s="186"/>
      <x:c r="X136" s="186"/>
      <x:c r="Y136" s="186"/>
      <x:c r="Z136" s="186"/>
    </x:row>
    <x:row r="137">
      <x:c r="A137" s="186"/>
      <x:c r="B137" s="186"/>
      <x:c r="C137" s="186"/>
      <x:c r="D137" s="186"/>
      <x:c r="E137" s="186"/>
      <x:c r="F137" s="186"/>
      <x:c r="G137" s="186"/>
      <x:c r="H137" s="186"/>
      <x:c r="I137" s="186"/>
      <x:c r="J137" s="186"/>
      <x:c r="K137" s="186"/>
      <x:c r="L137" s="186"/>
      <x:c r="M137" s="186"/>
      <x:c r="N137" s="186"/>
      <x:c r="O137" s="186"/>
      <x:c r="P137" s="186"/>
      <x:c r="Q137" s="186"/>
      <x:c r="R137" s="186"/>
      <x:c r="S137" s="186"/>
      <x:c r="T137" s="186"/>
      <x:c r="U137" s="186"/>
      <x:c r="V137" s="186"/>
      <x:c r="W137" s="186"/>
      <x:c r="X137" s="186"/>
      <x:c r="Y137" s="186"/>
      <x:c r="Z137" s="186"/>
    </x:row>
    <x:row r="138">
      <x:c r="A138" s="186"/>
      <x:c r="B138" s="186"/>
      <x:c r="C138" s="186"/>
      <x:c r="D138" s="186"/>
      <x:c r="E138" s="186"/>
      <x:c r="F138" s="186"/>
      <x:c r="G138" s="186"/>
      <x:c r="H138" s="186"/>
      <x:c r="I138" s="186"/>
      <x:c r="J138" s="186"/>
      <x:c r="K138" s="186"/>
      <x:c r="L138" s="186"/>
      <x:c r="M138" s="186"/>
      <x:c r="N138" s="186"/>
      <x:c r="O138" s="186"/>
      <x:c r="P138" s="186"/>
      <x:c r="Q138" s="186"/>
      <x:c r="R138" s="186"/>
      <x:c r="S138" s="186"/>
      <x:c r="T138" s="186"/>
      <x:c r="U138" s="186"/>
      <x:c r="V138" s="186"/>
      <x:c r="W138" s="186"/>
      <x:c r="X138" s="186"/>
      <x:c r="Y138" s="186"/>
      <x:c r="Z138" s="186"/>
    </x:row>
    <x:row r="139">
      <x:c r="A139" s="186"/>
      <x:c r="B139" s="186"/>
      <x:c r="C139" s="186"/>
      <x:c r="D139" s="186"/>
      <x:c r="E139" s="186"/>
      <x:c r="F139" s="186"/>
      <x:c r="G139" s="186"/>
      <x:c r="H139" s="186"/>
      <x:c r="I139" s="186"/>
      <x:c r="J139" s="186"/>
      <x:c r="K139" s="186"/>
      <x:c r="L139" s="186"/>
      <x:c r="M139" s="186"/>
      <x:c r="N139" s="186"/>
      <x:c r="O139" s="186"/>
      <x:c r="P139" s="186"/>
      <x:c r="Q139" s="186"/>
      <x:c r="R139" s="186"/>
      <x:c r="S139" s="186"/>
      <x:c r="T139" s="186"/>
      <x:c r="U139" s="186"/>
      <x:c r="V139" s="186"/>
      <x:c r="W139" s="186"/>
      <x:c r="X139" s="186"/>
      <x:c r="Y139" s="186"/>
      <x:c r="Z139" s="186"/>
    </x:row>
    <x:row r="140">
      <x:c r="A140" s="186"/>
      <x:c r="B140" s="186"/>
      <x:c r="C140" s="186"/>
      <x:c r="D140" s="186"/>
      <x:c r="E140" s="186"/>
      <x:c r="F140" s="186"/>
      <x:c r="G140" s="186"/>
      <x:c r="H140" s="186"/>
      <x:c r="I140" s="186"/>
      <x:c r="J140" s="186"/>
      <x:c r="K140" s="186"/>
      <x:c r="L140" s="186"/>
      <x:c r="M140" s="186"/>
      <x:c r="N140" s="186"/>
      <x:c r="O140" s="186"/>
      <x:c r="P140" s="186"/>
      <x:c r="Q140" s="186"/>
      <x:c r="R140" s="186"/>
      <x:c r="S140" s="186"/>
      <x:c r="T140" s="186"/>
      <x:c r="U140" s="186"/>
      <x:c r="V140" s="186"/>
      <x:c r="W140" s="186"/>
      <x:c r="X140" s="186"/>
      <x:c r="Y140" s="186"/>
      <x:c r="Z140" s="186"/>
    </x:row>
    <x:row r="141">
      <x:c r="A141" s="186"/>
      <x:c r="B141" s="186"/>
      <x:c r="C141" s="186"/>
      <x:c r="D141" s="186"/>
      <x:c r="E141" s="186"/>
      <x:c r="F141" s="186"/>
      <x:c r="G141" s="186"/>
      <x:c r="H141" s="186"/>
      <x:c r="I141" s="186"/>
      <x:c r="J141" s="186"/>
      <x:c r="K141" s="186"/>
      <x:c r="L141" s="186"/>
      <x:c r="M141" s="186"/>
      <x:c r="N141" s="186"/>
      <x:c r="O141" s="186"/>
      <x:c r="P141" s="186"/>
      <x:c r="Q141" s="186"/>
      <x:c r="R141" s="186"/>
      <x:c r="S141" s="186"/>
      <x:c r="T141" s="186"/>
      <x:c r="U141" s="186"/>
      <x:c r="V141" s="186"/>
      <x:c r="W141" s="186"/>
      <x:c r="X141" s="186"/>
      <x:c r="Y141" s="186"/>
      <x:c r="Z141" s="186"/>
    </x:row>
    <x:row r="142">
      <x:c r="A142" s="186"/>
      <x:c r="B142" s="186"/>
      <x:c r="C142" s="186"/>
      <x:c r="D142" s="186"/>
      <x:c r="E142" s="186"/>
      <x:c r="F142" s="186"/>
      <x:c r="G142" s="186"/>
      <x:c r="H142" s="186"/>
      <x:c r="I142" s="186"/>
      <x:c r="J142" s="186"/>
      <x:c r="K142" s="186"/>
      <x:c r="L142" s="186"/>
      <x:c r="M142" s="186"/>
      <x:c r="N142" s="186"/>
      <x:c r="O142" s="186"/>
      <x:c r="P142" s="186"/>
      <x:c r="Q142" s="186"/>
      <x:c r="R142" s="186"/>
      <x:c r="S142" s="186"/>
      <x:c r="T142" s="186"/>
      <x:c r="U142" s="186"/>
      <x:c r="V142" s="186"/>
      <x:c r="W142" s="186"/>
      <x:c r="X142" s="186"/>
      <x:c r="Y142" s="186"/>
      <x:c r="Z142" s="186"/>
    </x:row>
    <x:row r="143">
      <x:c r="A143" s="186"/>
      <x:c r="B143" s="186"/>
      <x:c r="C143" s="186"/>
      <x:c r="D143" s="186"/>
      <x:c r="E143" s="186"/>
      <x:c r="F143" s="186"/>
      <x:c r="G143" s="186"/>
      <x:c r="H143" s="186"/>
      <x:c r="I143" s="186"/>
      <x:c r="J143" s="186"/>
      <x:c r="K143" s="186"/>
      <x:c r="L143" s="186"/>
      <x:c r="M143" s="186"/>
      <x:c r="N143" s="186"/>
      <x:c r="O143" s="186"/>
      <x:c r="P143" s="186"/>
      <x:c r="Q143" s="186"/>
      <x:c r="R143" s="186"/>
      <x:c r="S143" s="186"/>
      <x:c r="T143" s="186"/>
      <x:c r="U143" s="186"/>
      <x:c r="V143" s="186"/>
      <x:c r="W143" s="186"/>
      <x:c r="X143" s="186"/>
      <x:c r="Y143" s="186"/>
      <x:c r="Z143" s="186"/>
    </x:row>
    <x:row r="144">
      <x:c r="A144" s="186"/>
      <x:c r="B144" s="186"/>
      <x:c r="C144" s="186"/>
      <x:c r="D144" s="186"/>
      <x:c r="E144" s="186"/>
      <x:c r="F144" s="186"/>
      <x:c r="G144" s="186"/>
      <x:c r="H144" s="186"/>
      <x:c r="I144" s="186"/>
      <x:c r="J144" s="186"/>
      <x:c r="K144" s="186"/>
      <x:c r="L144" s="186"/>
      <x:c r="M144" s="186"/>
      <x:c r="N144" s="186"/>
      <x:c r="O144" s="186"/>
      <x:c r="P144" s="186"/>
      <x:c r="Q144" s="186"/>
      <x:c r="R144" s="186"/>
      <x:c r="S144" s="186"/>
      <x:c r="T144" s="186"/>
      <x:c r="U144" s="186"/>
      <x:c r="V144" s="186"/>
      <x:c r="W144" s="186"/>
      <x:c r="X144" s="186"/>
      <x:c r="Y144" s="186"/>
      <x:c r="Z144" s="186"/>
    </x:row>
    <x:row r="145">
      <x:c r="A145" s="186"/>
      <x:c r="B145" s="186"/>
      <x:c r="C145" s="186"/>
      <x:c r="D145" s="186"/>
      <x:c r="E145" s="186"/>
      <x:c r="F145" s="186"/>
      <x:c r="G145" s="186"/>
      <x:c r="H145" s="186"/>
      <x:c r="I145" s="186"/>
      <x:c r="J145" s="186"/>
      <x:c r="K145" s="186"/>
      <x:c r="L145" s="186"/>
      <x:c r="M145" s="186"/>
      <x:c r="N145" s="186"/>
      <x:c r="O145" s="186"/>
      <x:c r="P145" s="186"/>
      <x:c r="Q145" s="186"/>
      <x:c r="R145" s="186"/>
      <x:c r="S145" s="186"/>
      <x:c r="T145" s="186"/>
      <x:c r="U145" s="186"/>
      <x:c r="V145" s="186"/>
      <x:c r="W145" s="186"/>
      <x:c r="X145" s="186"/>
      <x:c r="Y145" s="186"/>
      <x:c r="Z145" s="186"/>
    </x:row>
    <x:row r="146">
      <x:c r="A146" s="186"/>
      <x:c r="B146" s="186"/>
      <x:c r="C146" s="186"/>
      <x:c r="D146" s="186"/>
      <x:c r="E146" s="186"/>
      <x:c r="F146" s="186"/>
      <x:c r="G146" s="186"/>
      <x:c r="H146" s="186"/>
      <x:c r="I146" s="186"/>
      <x:c r="J146" s="186"/>
      <x:c r="K146" s="186"/>
      <x:c r="L146" s="186"/>
      <x:c r="M146" s="186"/>
      <x:c r="N146" s="186"/>
      <x:c r="O146" s="186"/>
      <x:c r="P146" s="186"/>
      <x:c r="Q146" s="186"/>
      <x:c r="R146" s="186"/>
      <x:c r="S146" s="186"/>
      <x:c r="T146" s="186"/>
      <x:c r="U146" s="186"/>
      <x:c r="V146" s="186"/>
      <x:c r="W146" s="186"/>
      <x:c r="X146" s="186"/>
      <x:c r="Y146" s="186"/>
      <x:c r="Z146" s="186"/>
    </x:row>
    <x:row r="147">
      <x:c r="A147" s="186"/>
      <x:c r="B147" s="186"/>
      <x:c r="C147" s="186"/>
      <x:c r="D147" s="186"/>
      <x:c r="E147" s="186"/>
      <x:c r="F147" s="186"/>
      <x:c r="G147" s="186"/>
      <x:c r="H147" s="186"/>
      <x:c r="I147" s="186"/>
      <x:c r="J147" s="186"/>
      <x:c r="K147" s="186"/>
      <x:c r="L147" s="186"/>
      <x:c r="M147" s="186"/>
      <x:c r="N147" s="186"/>
      <x:c r="O147" s="186"/>
      <x:c r="P147" s="186"/>
      <x:c r="Q147" s="186"/>
      <x:c r="R147" s="186"/>
      <x:c r="S147" s="186"/>
      <x:c r="T147" s="186"/>
      <x:c r="U147" s="186"/>
      <x:c r="V147" s="186"/>
      <x:c r="W147" s="186"/>
      <x:c r="X147" s="186"/>
      <x:c r="Y147" s="186"/>
      <x:c r="Z147" s="186"/>
    </x:row>
    <x:row r="148">
      <x:c r="A148" s="186"/>
      <x:c r="B148" s="186"/>
      <x:c r="C148" s="186"/>
      <x:c r="D148" s="186"/>
      <x:c r="E148" s="186"/>
      <x:c r="F148" s="186"/>
      <x:c r="G148" s="186"/>
      <x:c r="H148" s="186"/>
      <x:c r="I148" s="186"/>
      <x:c r="J148" s="186"/>
      <x:c r="K148" s="186"/>
      <x:c r="L148" s="186"/>
      <x:c r="M148" s="186"/>
      <x:c r="N148" s="186"/>
      <x:c r="O148" s="186"/>
      <x:c r="P148" s="186"/>
      <x:c r="Q148" s="186"/>
      <x:c r="R148" s="186"/>
      <x:c r="S148" s="186"/>
      <x:c r="T148" s="186"/>
      <x:c r="U148" s="186"/>
      <x:c r="V148" s="186"/>
      <x:c r="W148" s="186"/>
      <x:c r="X148" s="186"/>
      <x:c r="Y148" s="186"/>
      <x:c r="Z148" s="186"/>
    </x:row>
    <x:row r="149">
      <x:c r="A149" s="186"/>
      <x:c r="B149" s="186"/>
      <x:c r="C149" s="186"/>
      <x:c r="D149" s="186"/>
      <x:c r="E149" s="186"/>
      <x:c r="F149" s="186"/>
      <x:c r="G149" s="186"/>
      <x:c r="H149" s="186"/>
      <x:c r="I149" s="186"/>
      <x:c r="J149" s="186"/>
      <x:c r="K149" s="186"/>
      <x:c r="L149" s="186"/>
      <x:c r="M149" s="186"/>
      <x:c r="N149" s="186"/>
      <x:c r="O149" s="186"/>
      <x:c r="P149" s="186"/>
      <x:c r="Q149" s="186"/>
      <x:c r="R149" s="186"/>
      <x:c r="S149" s="186"/>
      <x:c r="T149" s="186"/>
      <x:c r="U149" s="186"/>
      <x:c r="V149" s="186"/>
      <x:c r="W149" s="186"/>
      <x:c r="X149" s="186"/>
      <x:c r="Y149" s="186"/>
      <x:c r="Z149" s="186"/>
    </x:row>
    <x:row r="150">
      <x:c r="A150" s="186"/>
      <x:c r="B150" s="186"/>
      <x:c r="C150" s="186"/>
      <x:c r="D150" s="186"/>
      <x:c r="E150" s="186"/>
      <x:c r="F150" s="186"/>
      <x:c r="G150" s="186"/>
      <x:c r="H150" s="186"/>
      <x:c r="I150" s="186"/>
      <x:c r="J150" s="186"/>
      <x:c r="K150" s="186"/>
      <x:c r="L150" s="186"/>
      <x:c r="M150" s="186"/>
      <x:c r="N150" s="186"/>
      <x:c r="O150" s="186"/>
      <x:c r="P150" s="186"/>
      <x:c r="Q150" s="186"/>
      <x:c r="R150" s="186"/>
      <x:c r="S150" s="186"/>
      <x:c r="T150" s="186"/>
      <x:c r="U150" s="186"/>
      <x:c r="V150" s="186"/>
      <x:c r="W150" s="186"/>
      <x:c r="X150" s="186"/>
      <x:c r="Y150" s="186"/>
      <x:c r="Z150" s="186"/>
    </x:row>
    <x:row r="151">
      <x:c r="A151" s="186"/>
      <x:c r="B151" s="186"/>
      <x:c r="C151" s="186"/>
      <x:c r="D151" s="186"/>
      <x:c r="E151" s="186"/>
      <x:c r="F151" s="186"/>
      <x:c r="G151" s="186"/>
      <x:c r="H151" s="186"/>
      <x:c r="I151" s="186"/>
      <x:c r="J151" s="186"/>
      <x:c r="K151" s="186"/>
      <x:c r="L151" s="186"/>
      <x:c r="M151" s="186"/>
      <x:c r="N151" s="186"/>
      <x:c r="O151" s="186"/>
      <x:c r="P151" s="186"/>
      <x:c r="Q151" s="186"/>
      <x:c r="R151" s="186"/>
      <x:c r="S151" s="186"/>
      <x:c r="T151" s="186"/>
      <x:c r="U151" s="186"/>
      <x:c r="V151" s="186"/>
      <x:c r="W151" s="186"/>
      <x:c r="X151" s="186"/>
      <x:c r="Y151" s="186"/>
      <x:c r="Z151" s="186"/>
    </x:row>
    <x:row r="152">
      <x:c r="A152" s="186"/>
      <x:c r="B152" s="186"/>
      <x:c r="C152" s="186"/>
      <x:c r="D152" s="186"/>
      <x:c r="E152" s="186"/>
      <x:c r="F152" s="186"/>
      <x:c r="G152" s="186"/>
      <x:c r="H152" s="186"/>
      <x:c r="I152" s="186"/>
      <x:c r="J152" s="186"/>
      <x:c r="K152" s="186"/>
      <x:c r="L152" s="186"/>
      <x:c r="M152" s="186"/>
      <x:c r="N152" s="186"/>
      <x:c r="O152" s="186"/>
      <x:c r="P152" s="186"/>
      <x:c r="Q152" s="186"/>
      <x:c r="R152" s="186"/>
      <x:c r="S152" s="186"/>
      <x:c r="T152" s="186"/>
      <x:c r="U152" s="186"/>
      <x:c r="V152" s="186"/>
      <x:c r="W152" s="186"/>
      <x:c r="X152" s="186"/>
      <x:c r="Y152" s="186"/>
      <x:c r="Z152" s="186"/>
    </x:row>
    <x:row r="153">
      <x:c r="A153" s="186"/>
      <x:c r="B153" s="186"/>
      <x:c r="C153" s="186"/>
      <x:c r="D153" s="186"/>
      <x:c r="E153" s="186"/>
      <x:c r="F153" s="186"/>
      <x:c r="G153" s="186"/>
      <x:c r="H153" s="186"/>
      <x:c r="I153" s="186"/>
      <x:c r="J153" s="186"/>
      <x:c r="K153" s="186"/>
      <x:c r="L153" s="186"/>
      <x:c r="M153" s="186"/>
      <x:c r="N153" s="186"/>
      <x:c r="O153" s="186"/>
      <x:c r="P153" s="186"/>
      <x:c r="Q153" s="186"/>
      <x:c r="R153" s="186"/>
      <x:c r="S153" s="186"/>
      <x:c r="T153" s="186"/>
      <x:c r="U153" s="186"/>
      <x:c r="V153" s="186"/>
      <x:c r="W153" s="186"/>
      <x:c r="X153" s="186"/>
      <x:c r="Y153" s="186"/>
      <x:c r="Z153" s="186"/>
    </x:row>
    <x:row r="154">
      <x:c r="A154" s="186"/>
      <x:c r="B154" s="186"/>
      <x:c r="C154" s="186"/>
      <x:c r="D154" s="186"/>
      <x:c r="E154" s="186"/>
      <x:c r="F154" s="186"/>
      <x:c r="G154" s="186"/>
      <x:c r="H154" s="186"/>
      <x:c r="I154" s="186"/>
      <x:c r="J154" s="186"/>
      <x:c r="K154" s="186"/>
      <x:c r="L154" s="186"/>
      <x:c r="M154" s="186"/>
      <x:c r="N154" s="186"/>
      <x:c r="O154" s="186"/>
      <x:c r="P154" s="186"/>
      <x:c r="Q154" s="186"/>
      <x:c r="R154" s="186"/>
      <x:c r="S154" s="186"/>
      <x:c r="T154" s="186"/>
      <x:c r="U154" s="186"/>
      <x:c r="V154" s="186"/>
      <x:c r="W154" s="186"/>
      <x:c r="X154" s="186"/>
      <x:c r="Y154" s="186"/>
      <x:c r="Z154" s="186"/>
    </x:row>
    <x:row r="155">
      <x:c r="A155" s="186"/>
      <x:c r="B155" s="186"/>
      <x:c r="C155" s="186"/>
      <x:c r="D155" s="186"/>
      <x:c r="E155" s="186"/>
      <x:c r="F155" s="186"/>
      <x:c r="G155" s="186"/>
      <x:c r="H155" s="186"/>
      <x:c r="I155" s="186"/>
      <x:c r="J155" s="186"/>
      <x:c r="K155" s="186"/>
      <x:c r="L155" s="186"/>
      <x:c r="M155" s="186"/>
      <x:c r="N155" s="186"/>
      <x:c r="O155" s="186"/>
      <x:c r="P155" s="186"/>
      <x:c r="Q155" s="186"/>
      <x:c r="R155" s="186"/>
      <x:c r="S155" s="186"/>
      <x:c r="T155" s="186"/>
      <x:c r="U155" s="186"/>
      <x:c r="V155" s="186"/>
      <x:c r="W155" s="186"/>
      <x:c r="X155" s="186"/>
      <x:c r="Y155" s="186"/>
      <x:c r="Z155" s="186"/>
    </x:row>
    <x:row r="156">
      <x:c r="A156" s="186"/>
      <x:c r="B156" s="186"/>
      <x:c r="C156" s="186"/>
      <x:c r="D156" s="186"/>
      <x:c r="E156" s="186"/>
      <x:c r="F156" s="186"/>
      <x:c r="G156" s="186"/>
      <x:c r="H156" s="186"/>
      <x:c r="I156" s="186"/>
      <x:c r="J156" s="186"/>
      <x:c r="K156" s="186"/>
      <x:c r="L156" s="186"/>
      <x:c r="M156" s="186"/>
      <x:c r="N156" s="186"/>
      <x:c r="O156" s="186"/>
      <x:c r="P156" s="186"/>
      <x:c r="Q156" s="186"/>
      <x:c r="R156" s="186"/>
      <x:c r="S156" s="186"/>
      <x:c r="T156" s="186"/>
      <x:c r="U156" s="186"/>
      <x:c r="V156" s="186"/>
      <x:c r="W156" s="186"/>
      <x:c r="X156" s="186"/>
      <x:c r="Y156" s="186"/>
      <x:c r="Z156" s="186"/>
    </x:row>
    <x:row r="157">
      <x:c r="A157" s="186"/>
      <x:c r="B157" s="186"/>
      <x:c r="C157" s="186"/>
      <x:c r="D157" s="186"/>
      <x:c r="E157" s="186"/>
      <x:c r="F157" s="186"/>
      <x:c r="G157" s="186"/>
      <x:c r="H157" s="186"/>
      <x:c r="I157" s="186"/>
      <x:c r="J157" s="186"/>
      <x:c r="K157" s="186"/>
      <x:c r="L157" s="186"/>
      <x:c r="M157" s="186"/>
      <x:c r="N157" s="186"/>
      <x:c r="O157" s="186"/>
      <x:c r="P157" s="186"/>
      <x:c r="Q157" s="186"/>
      <x:c r="R157" s="186"/>
      <x:c r="S157" s="186"/>
      <x:c r="T157" s="186"/>
      <x:c r="U157" s="186"/>
      <x:c r="V157" s="186"/>
      <x:c r="W157" s="186"/>
      <x:c r="X157" s="186"/>
      <x:c r="Y157" s="186"/>
      <x:c r="Z157" s="186"/>
    </x:row>
    <x:row r="158">
      <x:c r="A158" s="186"/>
      <x:c r="B158" s="186"/>
      <x:c r="C158" s="186"/>
      <x:c r="D158" s="186"/>
      <x:c r="E158" s="186"/>
      <x:c r="F158" s="186"/>
      <x:c r="G158" s="186"/>
      <x:c r="H158" s="186"/>
      <x:c r="I158" s="186"/>
      <x:c r="J158" s="186"/>
      <x:c r="K158" s="186"/>
      <x:c r="L158" s="186"/>
      <x:c r="M158" s="186"/>
      <x:c r="N158" s="186"/>
      <x:c r="O158" s="186"/>
      <x:c r="P158" s="186"/>
      <x:c r="Q158" s="186"/>
      <x:c r="R158" s="186"/>
      <x:c r="S158" s="186"/>
      <x:c r="T158" s="186"/>
      <x:c r="U158" s="186"/>
      <x:c r="V158" s="186"/>
      <x:c r="W158" s="186"/>
      <x:c r="X158" s="186"/>
      <x:c r="Y158" s="186"/>
      <x:c r="Z158" s="186"/>
    </x:row>
    <x:row r="159">
      <x:c r="A159" s="186"/>
      <x:c r="B159" s="186"/>
      <x:c r="C159" s="186"/>
      <x:c r="D159" s="186"/>
      <x:c r="E159" s="186"/>
      <x:c r="F159" s="186"/>
      <x:c r="G159" s="186"/>
      <x:c r="H159" s="186"/>
      <x:c r="I159" s="186"/>
      <x:c r="J159" s="186"/>
      <x:c r="K159" s="186"/>
      <x:c r="L159" s="186"/>
      <x:c r="M159" s="186"/>
      <x:c r="N159" s="186"/>
      <x:c r="O159" s="186"/>
      <x:c r="P159" s="186"/>
      <x:c r="Q159" s="186"/>
      <x:c r="R159" s="186"/>
      <x:c r="S159" s="186"/>
      <x:c r="T159" s="186"/>
      <x:c r="U159" s="186"/>
      <x:c r="V159" s="186"/>
      <x:c r="W159" s="186"/>
      <x:c r="X159" s="186"/>
      <x:c r="Y159" s="186"/>
      <x:c r="Z159" s="186"/>
    </x:row>
    <x:row r="160">
      <x:c r="A160" s="186"/>
      <x:c r="B160" s="186"/>
      <x:c r="C160" s="186"/>
      <x:c r="D160" s="186"/>
      <x:c r="E160" s="186"/>
      <x:c r="F160" s="186"/>
      <x:c r="G160" s="186"/>
      <x:c r="H160" s="186"/>
      <x:c r="I160" s="186"/>
      <x:c r="J160" s="186"/>
      <x:c r="K160" s="186"/>
      <x:c r="L160" s="186"/>
      <x:c r="M160" s="186"/>
      <x:c r="N160" s="186"/>
      <x:c r="O160" s="186"/>
      <x:c r="P160" s="186"/>
      <x:c r="Q160" s="186"/>
      <x:c r="R160" s="186"/>
      <x:c r="S160" s="186"/>
      <x:c r="T160" s="186"/>
      <x:c r="U160" s="186"/>
      <x:c r="V160" s="186"/>
      <x:c r="W160" s="186"/>
      <x:c r="X160" s="186"/>
      <x:c r="Y160" s="186"/>
      <x:c r="Z160" s="186"/>
    </x:row>
    <x:row r="161">
      <x:c r="A161" s="186"/>
      <x:c r="B161" s="186"/>
      <x:c r="C161" s="186"/>
      <x:c r="D161" s="186"/>
      <x:c r="E161" s="186"/>
      <x:c r="F161" s="186"/>
      <x:c r="G161" s="186"/>
      <x:c r="H161" s="186"/>
      <x:c r="I161" s="186"/>
      <x:c r="J161" s="186"/>
      <x:c r="K161" s="186"/>
      <x:c r="L161" s="186"/>
      <x:c r="M161" s="186"/>
      <x:c r="N161" s="186"/>
      <x:c r="O161" s="186"/>
      <x:c r="P161" s="186"/>
      <x:c r="Q161" s="186"/>
      <x:c r="R161" s="186"/>
      <x:c r="S161" s="186"/>
      <x:c r="T161" s="186"/>
      <x:c r="U161" s="186"/>
      <x:c r="V161" s="186"/>
      <x:c r="W161" s="186"/>
      <x:c r="X161" s="186"/>
      <x:c r="Y161" s="186"/>
      <x:c r="Z161" s="186"/>
    </x:row>
    <x:row r="162">
      <x:c r="A162" s="186"/>
      <x:c r="B162" s="186"/>
      <x:c r="C162" s="186"/>
      <x:c r="D162" s="186"/>
      <x:c r="E162" s="186"/>
      <x:c r="F162" s="186"/>
      <x:c r="G162" s="186"/>
      <x:c r="H162" s="186"/>
      <x:c r="I162" s="186"/>
      <x:c r="J162" s="186"/>
      <x:c r="K162" s="186"/>
      <x:c r="L162" s="186"/>
      <x:c r="M162" s="186"/>
      <x:c r="N162" s="186"/>
      <x:c r="O162" s="186"/>
      <x:c r="P162" s="186"/>
      <x:c r="Q162" s="186"/>
      <x:c r="R162" s="186"/>
      <x:c r="S162" s="186"/>
      <x:c r="T162" s="186"/>
      <x:c r="U162" s="186"/>
      <x:c r="V162" s="186"/>
      <x:c r="W162" s="186"/>
      <x:c r="X162" s="186"/>
      <x:c r="Y162" s="186"/>
      <x:c r="Z162" s="186"/>
    </x:row>
    <x:row r="163">
      <x:c r="A163" s="186"/>
      <x:c r="B163" s="186"/>
      <x:c r="C163" s="186"/>
      <x:c r="D163" s="186"/>
      <x:c r="E163" s="186"/>
      <x:c r="F163" s="186"/>
      <x:c r="G163" s="186"/>
      <x:c r="H163" s="186"/>
      <x:c r="I163" s="186"/>
      <x:c r="J163" s="186"/>
      <x:c r="K163" s="186"/>
      <x:c r="L163" s="186"/>
      <x:c r="M163" s="186"/>
      <x:c r="N163" s="186"/>
      <x:c r="O163" s="186"/>
      <x:c r="P163" s="186"/>
      <x:c r="Q163" s="186"/>
      <x:c r="R163" s="186"/>
      <x:c r="S163" s="186"/>
      <x:c r="T163" s="186"/>
      <x:c r="U163" s="186"/>
      <x:c r="V163" s="186"/>
      <x:c r="W163" s="186"/>
      <x:c r="X163" s="186"/>
      <x:c r="Y163" s="186"/>
      <x:c r="Z163" s="186"/>
    </x:row>
    <x:row r="164">
      <x:c r="A164" s="186"/>
      <x:c r="B164" s="186"/>
      <x:c r="C164" s="186"/>
      <x:c r="D164" s="186"/>
      <x:c r="E164" s="186"/>
      <x:c r="F164" s="186"/>
      <x:c r="G164" s="186"/>
      <x:c r="H164" s="186"/>
      <x:c r="I164" s="186"/>
      <x:c r="J164" s="186"/>
      <x:c r="K164" s="186"/>
      <x:c r="L164" s="186"/>
      <x:c r="M164" s="186"/>
      <x:c r="N164" s="186"/>
      <x:c r="O164" s="186"/>
      <x:c r="P164" s="186"/>
      <x:c r="Q164" s="186"/>
      <x:c r="R164" s="186"/>
      <x:c r="S164" s="186"/>
      <x:c r="T164" s="186"/>
      <x:c r="U164" s="186"/>
      <x:c r="V164" s="186"/>
      <x:c r="W164" s="186"/>
      <x:c r="X164" s="186"/>
      <x:c r="Y164" s="186"/>
      <x:c r="Z164" s="186"/>
    </x:row>
    <x:row r="165">
      <x:c r="A165" s="186"/>
      <x:c r="B165" s="186"/>
      <x:c r="C165" s="186"/>
      <x:c r="D165" s="186"/>
      <x:c r="E165" s="186"/>
      <x:c r="F165" s="186"/>
      <x:c r="G165" s="186"/>
      <x:c r="H165" s="186"/>
      <x:c r="I165" s="186"/>
      <x:c r="J165" s="186"/>
      <x:c r="K165" s="186"/>
      <x:c r="L165" s="186"/>
      <x:c r="M165" s="186"/>
      <x:c r="N165" s="186"/>
      <x:c r="O165" s="186"/>
      <x:c r="P165" s="186"/>
      <x:c r="Q165" s="186"/>
      <x:c r="R165" s="186"/>
      <x:c r="S165" s="186"/>
      <x:c r="T165" s="186"/>
      <x:c r="U165" s="186"/>
      <x:c r="V165" s="186"/>
      <x:c r="W165" s="186"/>
      <x:c r="X165" s="186"/>
      <x:c r="Y165" s="186"/>
      <x:c r="Z165" s="186"/>
    </x:row>
    <x:row r="166">
      <x:c r="A166" s="186"/>
      <x:c r="B166" s="186"/>
      <x:c r="C166" s="186"/>
      <x:c r="D166" s="186"/>
      <x:c r="E166" s="186"/>
      <x:c r="F166" s="186"/>
      <x:c r="G166" s="186"/>
      <x:c r="H166" s="186"/>
      <x:c r="I166" s="186"/>
      <x:c r="J166" s="186"/>
      <x:c r="K166" s="186"/>
      <x:c r="L166" s="186"/>
      <x:c r="M166" s="186"/>
      <x:c r="N166" s="186"/>
      <x:c r="O166" s="186"/>
      <x:c r="P166" s="186"/>
      <x:c r="Q166" s="186"/>
      <x:c r="R166" s="186"/>
      <x:c r="S166" s="186"/>
      <x:c r="T166" s="186"/>
      <x:c r="U166" s="186"/>
      <x:c r="V166" s="186"/>
      <x:c r="W166" s="186"/>
      <x:c r="X166" s="186"/>
      <x:c r="Y166" s="186"/>
      <x:c r="Z166" s="186"/>
    </x:row>
    <x:row r="167">
      <x:c r="A167" s="186"/>
      <x:c r="B167" s="186"/>
      <x:c r="C167" s="186"/>
      <x:c r="D167" s="186"/>
      <x:c r="E167" s="186"/>
      <x:c r="F167" s="186"/>
      <x:c r="G167" s="186"/>
      <x:c r="H167" s="186"/>
      <x:c r="I167" s="186"/>
      <x:c r="J167" s="186"/>
      <x:c r="K167" s="186"/>
      <x:c r="L167" s="186"/>
      <x:c r="M167" s="186"/>
      <x:c r="N167" s="186"/>
      <x:c r="O167" s="186"/>
      <x:c r="P167" s="186"/>
      <x:c r="Q167" s="186"/>
      <x:c r="R167" s="186"/>
      <x:c r="S167" s="186"/>
      <x:c r="T167" s="186"/>
      <x:c r="U167" s="186"/>
      <x:c r="V167" s="186"/>
      <x:c r="W167" s="186"/>
      <x:c r="X167" s="186"/>
      <x:c r="Y167" s="186"/>
      <x:c r="Z167" s="186"/>
    </x:row>
    <x:row r="168">
      <x:c r="A168" s="186"/>
      <x:c r="B168" s="186"/>
      <x:c r="C168" s="186"/>
      <x:c r="D168" s="186"/>
      <x:c r="E168" s="186"/>
      <x:c r="F168" s="186"/>
      <x:c r="G168" s="186"/>
      <x:c r="H168" s="186"/>
      <x:c r="I168" s="186"/>
      <x:c r="J168" s="186"/>
      <x:c r="K168" s="186"/>
      <x:c r="L168" s="186"/>
      <x:c r="M168" s="186"/>
      <x:c r="N168" s="186"/>
      <x:c r="O168" s="186"/>
      <x:c r="P168" s="186"/>
      <x:c r="Q168" s="186"/>
      <x:c r="R168" s="186"/>
      <x:c r="S168" s="186"/>
      <x:c r="T168" s="186"/>
      <x:c r="U168" s="186"/>
      <x:c r="V168" s="186"/>
      <x:c r="W168" s="186"/>
      <x:c r="X168" s="186"/>
      <x:c r="Y168" s="186"/>
      <x:c r="Z168" s="186"/>
    </x:row>
    <x:row r="169">
      <x:c r="A169" s="186"/>
      <x:c r="B169" s="186"/>
      <x:c r="C169" s="186"/>
      <x:c r="D169" s="186"/>
      <x:c r="E169" s="186"/>
      <x:c r="F169" s="186"/>
      <x:c r="G169" s="186"/>
      <x:c r="H169" s="186"/>
      <x:c r="I169" s="186"/>
      <x:c r="J169" s="186"/>
      <x:c r="K169" s="186"/>
      <x:c r="L169" s="186"/>
      <x:c r="M169" s="186"/>
      <x:c r="N169" s="186"/>
      <x:c r="O169" s="186"/>
      <x:c r="P169" s="186"/>
      <x:c r="Q169" s="186"/>
      <x:c r="R169" s="186"/>
      <x:c r="S169" s="186"/>
      <x:c r="T169" s="186"/>
      <x:c r="U169" s="186"/>
      <x:c r="V169" s="186"/>
      <x:c r="W169" s="186"/>
      <x:c r="X169" s="186"/>
      <x:c r="Y169" s="186"/>
      <x:c r="Z169" s="186"/>
    </x:row>
    <x:row r="170">
      <x:c r="A170" s="186"/>
      <x:c r="B170" s="186"/>
      <x:c r="C170" s="186"/>
      <x:c r="D170" s="186"/>
      <x:c r="E170" s="186"/>
      <x:c r="F170" s="186"/>
      <x:c r="G170" s="186"/>
      <x:c r="H170" s="186"/>
      <x:c r="I170" s="186"/>
      <x:c r="J170" s="186"/>
      <x:c r="K170" s="186"/>
      <x:c r="L170" s="186"/>
      <x:c r="M170" s="186"/>
      <x:c r="N170" s="186"/>
      <x:c r="O170" s="186"/>
      <x:c r="P170" s="186"/>
      <x:c r="Q170" s="186"/>
      <x:c r="R170" s="186"/>
      <x:c r="S170" s="186"/>
      <x:c r="T170" s="186"/>
      <x:c r="U170" s="186"/>
      <x:c r="V170" s="186"/>
      <x:c r="W170" s="186"/>
      <x:c r="X170" s="186"/>
      <x:c r="Y170" s="186"/>
      <x:c r="Z170" s="186"/>
    </x:row>
    <x:row r="171">
      <x:c r="A171" s="186"/>
      <x:c r="B171" s="186"/>
      <x:c r="C171" s="186"/>
      <x:c r="D171" s="186"/>
      <x:c r="E171" s="186"/>
      <x:c r="F171" s="186"/>
      <x:c r="G171" s="186"/>
      <x:c r="H171" s="186"/>
      <x:c r="I171" s="186"/>
      <x:c r="J171" s="186"/>
      <x:c r="K171" s="186"/>
      <x:c r="L171" s="186"/>
      <x:c r="M171" s="186"/>
      <x:c r="N171" s="186"/>
      <x:c r="O171" s="186"/>
      <x:c r="P171" s="186"/>
      <x:c r="Q171" s="186"/>
      <x:c r="R171" s="186"/>
      <x:c r="S171" s="186"/>
      <x:c r="T171" s="186"/>
      <x:c r="U171" s="186"/>
      <x:c r="V171" s="186"/>
      <x:c r="W171" s="186"/>
      <x:c r="X171" s="186"/>
      <x:c r="Y171" s="186"/>
      <x:c r="Z171" s="186"/>
    </x:row>
    <x:row r="172">
      <x:c r="A172" s="186"/>
      <x:c r="B172" s="186"/>
      <x:c r="C172" s="186"/>
      <x:c r="D172" s="186"/>
      <x:c r="E172" s="186"/>
      <x:c r="F172" s="186"/>
      <x:c r="G172" s="186"/>
      <x:c r="H172" s="186"/>
      <x:c r="I172" s="186"/>
      <x:c r="J172" s="186"/>
      <x:c r="K172" s="186"/>
      <x:c r="L172" s="186"/>
      <x:c r="M172" s="186"/>
      <x:c r="N172" s="186"/>
      <x:c r="O172" s="186"/>
      <x:c r="P172" s="186"/>
      <x:c r="Q172" s="186"/>
      <x:c r="R172" s="186"/>
      <x:c r="S172" s="186"/>
      <x:c r="T172" s="186"/>
      <x:c r="U172" s="186"/>
      <x:c r="V172" s="186"/>
      <x:c r="W172" s="186"/>
      <x:c r="X172" s="186"/>
      <x:c r="Y172" s="186"/>
      <x:c r="Z172" s="186"/>
    </x:row>
    <x:row r="173">
      <x:c r="A173" s="186"/>
      <x:c r="B173" s="186"/>
      <x:c r="C173" s="186"/>
      <x:c r="D173" s="186"/>
      <x:c r="E173" s="186"/>
      <x:c r="F173" s="186"/>
      <x:c r="G173" s="186"/>
      <x:c r="H173" s="186"/>
      <x:c r="I173" s="186"/>
      <x:c r="J173" s="186"/>
      <x:c r="K173" s="186"/>
      <x:c r="L173" s="186"/>
      <x:c r="M173" s="186"/>
      <x:c r="N173" s="186"/>
      <x:c r="O173" s="186"/>
      <x:c r="P173" s="186"/>
      <x:c r="Q173" s="186"/>
      <x:c r="R173" s="186"/>
      <x:c r="S173" s="186"/>
      <x:c r="T173" s="186"/>
      <x:c r="U173" s="186"/>
      <x:c r="V173" s="186"/>
      <x:c r="W173" s="186"/>
      <x:c r="X173" s="186"/>
      <x:c r="Y173" s="186"/>
      <x:c r="Z173" s="186"/>
    </x:row>
    <x:row r="174">
      <x:c r="A174" s="186"/>
      <x:c r="B174" s="186"/>
      <x:c r="C174" s="186"/>
      <x:c r="D174" s="186"/>
      <x:c r="E174" s="186"/>
      <x:c r="F174" s="186"/>
      <x:c r="G174" s="186"/>
      <x:c r="H174" s="186"/>
      <x:c r="I174" s="186"/>
      <x:c r="J174" s="186"/>
      <x:c r="K174" s="186"/>
      <x:c r="L174" s="186"/>
      <x:c r="M174" s="186"/>
      <x:c r="N174" s="186"/>
      <x:c r="O174" s="186"/>
      <x:c r="P174" s="186"/>
      <x:c r="Q174" s="186"/>
      <x:c r="R174" s="186"/>
      <x:c r="S174" s="186"/>
      <x:c r="T174" s="186"/>
      <x:c r="U174" s="186"/>
      <x:c r="V174" s="186"/>
      <x:c r="W174" s="186"/>
      <x:c r="X174" s="186"/>
      <x:c r="Y174" s="186"/>
      <x:c r="Z174" s="186"/>
    </x:row>
    <x:row r="175">
      <x:c r="A175" s="186"/>
      <x:c r="B175" s="186"/>
      <x:c r="C175" s="186"/>
      <x:c r="D175" s="186"/>
      <x:c r="E175" s="186"/>
      <x:c r="F175" s="186"/>
      <x:c r="G175" s="186"/>
      <x:c r="H175" s="186"/>
      <x:c r="I175" s="186"/>
      <x:c r="J175" s="186"/>
      <x:c r="K175" s="186"/>
      <x:c r="L175" s="186"/>
      <x:c r="M175" s="186"/>
      <x:c r="N175" s="186"/>
      <x:c r="O175" s="186"/>
      <x:c r="P175" s="186"/>
      <x:c r="Q175" s="186"/>
      <x:c r="R175" s="186"/>
      <x:c r="S175" s="186"/>
      <x:c r="T175" s="186"/>
      <x:c r="U175" s="186"/>
      <x:c r="V175" s="186"/>
      <x:c r="W175" s="186"/>
      <x:c r="X175" s="186"/>
      <x:c r="Y175" s="186"/>
      <x:c r="Z175" s="186"/>
    </x:row>
    <x:row r="176">
      <x:c r="A176" s="186"/>
      <x:c r="B176" s="186"/>
      <x:c r="C176" s="186"/>
      <x:c r="D176" s="186"/>
      <x:c r="E176" s="186"/>
      <x:c r="F176" s="186"/>
      <x:c r="G176" s="186"/>
      <x:c r="H176" s="186"/>
      <x:c r="I176" s="186"/>
      <x:c r="J176" s="186"/>
      <x:c r="K176" s="186"/>
      <x:c r="L176" s="186"/>
      <x:c r="M176" s="186"/>
      <x:c r="N176" s="186"/>
      <x:c r="O176" s="186"/>
      <x:c r="P176" s="186"/>
      <x:c r="Q176" s="186"/>
      <x:c r="R176" s="186"/>
      <x:c r="S176" s="186"/>
      <x:c r="T176" s="186"/>
      <x:c r="U176" s="186"/>
      <x:c r="V176" s="186"/>
      <x:c r="W176" s="186"/>
      <x:c r="X176" s="186"/>
      <x:c r="Y176" s="186"/>
      <x:c r="Z176" s="186"/>
    </x:row>
    <x:row r="177">
      <x:c r="A177" s="186"/>
      <x:c r="B177" s="186"/>
      <x:c r="C177" s="186"/>
      <x:c r="D177" s="186"/>
      <x:c r="E177" s="186"/>
      <x:c r="F177" s="186"/>
      <x:c r="G177" s="186"/>
      <x:c r="H177" s="186"/>
      <x:c r="I177" s="186"/>
      <x:c r="J177" s="186"/>
      <x:c r="K177" s="186"/>
      <x:c r="L177" s="186"/>
      <x:c r="M177" s="186"/>
      <x:c r="N177" s="186"/>
      <x:c r="O177" s="186"/>
      <x:c r="P177" s="186"/>
      <x:c r="Q177" s="186"/>
      <x:c r="R177" s="186"/>
      <x:c r="S177" s="186"/>
      <x:c r="T177" s="186"/>
      <x:c r="U177" s="186"/>
      <x:c r="V177" s="186"/>
      <x:c r="W177" s="186"/>
      <x:c r="X177" s="186"/>
      <x:c r="Y177" s="186"/>
      <x:c r="Z177" s="186"/>
    </x:row>
    <x:row r="178">
      <x:c r="A178" s="186"/>
      <x:c r="B178" s="186"/>
      <x:c r="C178" s="186"/>
      <x:c r="D178" s="186"/>
      <x:c r="E178" s="186"/>
      <x:c r="F178" s="186"/>
      <x:c r="G178" s="186"/>
      <x:c r="H178" s="186"/>
      <x:c r="I178" s="186"/>
      <x:c r="J178" s="186"/>
      <x:c r="K178" s="186"/>
      <x:c r="L178" s="186"/>
      <x:c r="M178" s="186"/>
      <x:c r="N178" s="186"/>
      <x:c r="O178" s="186"/>
      <x:c r="P178" s="186"/>
      <x:c r="Q178" s="186"/>
      <x:c r="R178" s="186"/>
      <x:c r="S178" s="186"/>
      <x:c r="T178" s="186"/>
      <x:c r="U178" s="186"/>
      <x:c r="V178" s="186"/>
      <x:c r="W178" s="186"/>
      <x:c r="X178" s="186"/>
      <x:c r="Y178" s="186"/>
      <x:c r="Z178" s="186"/>
    </x:row>
    <x:row r="179">
      <x:c r="A179" s="186"/>
      <x:c r="B179" s="186"/>
      <x:c r="C179" s="186"/>
      <x:c r="D179" s="186"/>
      <x:c r="E179" s="186"/>
      <x:c r="F179" s="186"/>
      <x:c r="G179" s="186"/>
      <x:c r="H179" s="186"/>
      <x:c r="I179" s="186"/>
      <x:c r="J179" s="186"/>
      <x:c r="K179" s="186"/>
      <x:c r="L179" s="186"/>
      <x:c r="M179" s="186"/>
      <x:c r="N179" s="186"/>
      <x:c r="O179" s="186"/>
      <x:c r="P179" s="186"/>
      <x:c r="Q179" s="186"/>
      <x:c r="R179" s="186"/>
      <x:c r="S179" s="186"/>
      <x:c r="T179" s="186"/>
      <x:c r="U179" s="186"/>
      <x:c r="V179" s="186"/>
      <x:c r="W179" s="186"/>
      <x:c r="X179" s="186"/>
      <x:c r="Y179" s="186"/>
      <x:c r="Z179" s="186"/>
    </x:row>
    <x:row r="180">
      <x:c r="A180" s="186"/>
      <x:c r="B180" s="186"/>
      <x:c r="C180" s="186"/>
      <x:c r="D180" s="186"/>
      <x:c r="E180" s="186"/>
      <x:c r="F180" s="186"/>
      <x:c r="G180" s="186"/>
      <x:c r="H180" s="186"/>
      <x:c r="I180" s="186"/>
      <x:c r="J180" s="186"/>
      <x:c r="K180" s="186"/>
      <x:c r="L180" s="186"/>
      <x:c r="M180" s="186"/>
      <x:c r="N180" s="186"/>
      <x:c r="O180" s="186"/>
      <x:c r="P180" s="186"/>
      <x:c r="Q180" s="186"/>
      <x:c r="R180" s="186"/>
      <x:c r="S180" s="186"/>
      <x:c r="T180" s="186"/>
      <x:c r="U180" s="186"/>
      <x:c r="V180" s="186"/>
      <x:c r="W180" s="186"/>
      <x:c r="X180" s="186"/>
      <x:c r="Y180" s="186"/>
      <x:c r="Z180" s="186"/>
    </x:row>
    <x:row r="181">
      <x:c r="A181" s="186"/>
      <x:c r="B181" s="186"/>
      <x:c r="C181" s="186"/>
      <x:c r="D181" s="186"/>
      <x:c r="E181" s="186"/>
      <x:c r="F181" s="186"/>
      <x:c r="G181" s="186"/>
      <x:c r="H181" s="186"/>
      <x:c r="I181" s="186"/>
      <x:c r="J181" s="186"/>
      <x:c r="K181" s="186"/>
      <x:c r="L181" s="186"/>
      <x:c r="M181" s="186"/>
      <x:c r="N181" s="186"/>
      <x:c r="O181" s="186"/>
      <x:c r="P181" s="186"/>
      <x:c r="Q181" s="186"/>
      <x:c r="R181" s="186"/>
      <x:c r="S181" s="186"/>
      <x:c r="T181" s="186"/>
      <x:c r="U181" s="186"/>
      <x:c r="V181" s="186"/>
      <x:c r="W181" s="186"/>
      <x:c r="X181" s="186"/>
      <x:c r="Y181" s="186"/>
      <x:c r="Z181" s="186"/>
    </x:row>
    <x:row r="182">
      <x:c r="A182" s="186"/>
      <x:c r="B182" s="186"/>
      <x:c r="C182" s="186"/>
      <x:c r="D182" s="186"/>
      <x:c r="E182" s="186"/>
      <x:c r="F182" s="186"/>
      <x:c r="G182" s="186"/>
      <x:c r="H182" s="186"/>
      <x:c r="I182" s="186"/>
      <x:c r="J182" s="186"/>
      <x:c r="K182" s="186"/>
      <x:c r="L182" s="186"/>
      <x:c r="M182" s="186"/>
      <x:c r="N182" s="186"/>
      <x:c r="O182" s="186"/>
      <x:c r="P182" s="186"/>
      <x:c r="Q182" s="186"/>
      <x:c r="R182" s="186"/>
      <x:c r="S182" s="186"/>
      <x:c r="T182" s="186"/>
      <x:c r="U182" s="186"/>
      <x:c r="V182" s="186"/>
      <x:c r="W182" s="186"/>
      <x:c r="X182" s="186"/>
      <x:c r="Y182" s="186"/>
      <x:c r="Z182" s="186"/>
    </x:row>
    <x:row r="183">
      <x:c r="A183" s="186"/>
      <x:c r="B183" s="186"/>
      <x:c r="C183" s="186"/>
      <x:c r="D183" s="186"/>
      <x:c r="E183" s="186"/>
      <x:c r="F183" s="186"/>
      <x:c r="G183" s="186"/>
      <x:c r="H183" s="186"/>
      <x:c r="I183" s="186"/>
      <x:c r="J183" s="186"/>
      <x:c r="K183" s="186"/>
      <x:c r="L183" s="186"/>
      <x:c r="M183" s="186"/>
      <x:c r="N183" s="186"/>
      <x:c r="O183" s="186"/>
      <x:c r="P183" s="186"/>
      <x:c r="Q183" s="186"/>
      <x:c r="R183" s="186"/>
      <x:c r="S183" s="186"/>
      <x:c r="T183" s="186"/>
      <x:c r="U183" s="186"/>
      <x:c r="V183" s="186"/>
      <x:c r="W183" s="186"/>
      <x:c r="X183" s="186"/>
      <x:c r="Y183" s="186"/>
      <x:c r="Z183" s="186"/>
    </x:row>
    <x:row r="184">
      <x:c r="A184" s="186"/>
      <x:c r="B184" s="186"/>
      <x:c r="C184" s="186"/>
      <x:c r="D184" s="186"/>
      <x:c r="E184" s="186"/>
      <x:c r="F184" s="186"/>
      <x:c r="G184" s="186"/>
      <x:c r="H184" s="186"/>
      <x:c r="I184" s="186"/>
      <x:c r="J184" s="186"/>
      <x:c r="K184" s="186"/>
      <x:c r="L184" s="186"/>
      <x:c r="M184" s="186"/>
      <x:c r="N184" s="186"/>
      <x:c r="O184" s="186"/>
      <x:c r="P184" s="186"/>
      <x:c r="Q184" s="186"/>
      <x:c r="R184" s="186"/>
      <x:c r="S184" s="186"/>
      <x:c r="T184" s="186"/>
      <x:c r="U184" s="186"/>
      <x:c r="V184" s="186"/>
      <x:c r="W184" s="186"/>
      <x:c r="X184" s="186"/>
      <x:c r="Y184" s="186"/>
      <x:c r="Z184" s="186"/>
    </x:row>
    <x:row r="185">
      <x:c r="A185" s="186"/>
      <x:c r="B185" s="186"/>
      <x:c r="C185" s="186"/>
      <x:c r="D185" s="186"/>
      <x:c r="E185" s="186"/>
      <x:c r="F185" s="186"/>
      <x:c r="G185" s="186"/>
      <x:c r="H185" s="186"/>
      <x:c r="I185" s="186"/>
      <x:c r="J185" s="186"/>
      <x:c r="K185" s="186"/>
      <x:c r="L185" s="186"/>
      <x:c r="M185" s="186"/>
      <x:c r="N185" s="186"/>
      <x:c r="O185" s="186"/>
      <x:c r="P185" s="186"/>
      <x:c r="Q185" s="186"/>
      <x:c r="R185" s="186"/>
      <x:c r="S185" s="186"/>
      <x:c r="T185" s="186"/>
      <x:c r="U185" s="186"/>
      <x:c r="V185" s="186"/>
      <x:c r="W185" s="186"/>
      <x:c r="X185" s="186"/>
      <x:c r="Y185" s="186"/>
      <x:c r="Z185" s="186"/>
    </x:row>
    <x:row r="186">
      <x:c r="A186" s="186"/>
      <x:c r="B186" s="186"/>
      <x:c r="C186" s="186"/>
      <x:c r="D186" s="186"/>
      <x:c r="E186" s="186"/>
      <x:c r="F186" s="186"/>
      <x:c r="G186" s="186"/>
      <x:c r="H186" s="186"/>
      <x:c r="I186" s="186"/>
      <x:c r="J186" s="186"/>
      <x:c r="K186" s="186"/>
      <x:c r="L186" s="186"/>
      <x:c r="M186" s="186"/>
      <x:c r="N186" s="186"/>
      <x:c r="O186" s="186"/>
      <x:c r="P186" s="186"/>
      <x:c r="Q186" s="186"/>
      <x:c r="R186" s="186"/>
      <x:c r="S186" s="186"/>
      <x:c r="T186" s="186"/>
      <x:c r="U186" s="186"/>
      <x:c r="V186" s="186"/>
      <x:c r="W186" s="186"/>
      <x:c r="X186" s="186"/>
      <x:c r="Y186" s="186"/>
      <x:c r="Z186" s="186"/>
    </x:row>
    <x:row r="187">
      <x:c r="A187" s="186"/>
      <x:c r="B187" s="186"/>
      <x:c r="C187" s="186"/>
      <x:c r="D187" s="186"/>
      <x:c r="E187" s="186"/>
      <x:c r="F187" s="186"/>
      <x:c r="G187" s="186"/>
      <x:c r="H187" s="186"/>
      <x:c r="I187" s="186"/>
      <x:c r="J187" s="186"/>
      <x:c r="K187" s="186"/>
      <x:c r="L187" s="186"/>
      <x:c r="M187" s="186"/>
      <x:c r="N187" s="186"/>
      <x:c r="O187" s="186"/>
      <x:c r="P187" s="186"/>
      <x:c r="Q187" s="186"/>
      <x:c r="R187" s="186"/>
      <x:c r="S187" s="186"/>
      <x:c r="T187" s="186"/>
      <x:c r="U187" s="186"/>
      <x:c r="V187" s="186"/>
      <x:c r="W187" s="186"/>
      <x:c r="X187" s="186"/>
      <x:c r="Y187" s="186"/>
      <x:c r="Z187" s="186"/>
    </x:row>
    <x:row r="188">
      <x:c r="A188" s="186"/>
      <x:c r="B188" s="186"/>
      <x:c r="C188" s="186"/>
      <x:c r="D188" s="186"/>
      <x:c r="E188" s="186"/>
      <x:c r="F188" s="186"/>
      <x:c r="G188" s="186"/>
      <x:c r="H188" s="186"/>
      <x:c r="I188" s="186"/>
      <x:c r="J188" s="186"/>
      <x:c r="K188" s="186"/>
      <x:c r="L188" s="186"/>
      <x:c r="M188" s="186"/>
      <x:c r="N188" s="186"/>
      <x:c r="O188" s="186"/>
      <x:c r="P188" s="186"/>
      <x:c r="Q188" s="186"/>
      <x:c r="R188" s="186"/>
      <x:c r="S188" s="186"/>
      <x:c r="T188" s="186"/>
      <x:c r="U188" s="186"/>
      <x:c r="V188" s="186"/>
      <x:c r="W188" s="186"/>
      <x:c r="X188" s="186"/>
      <x:c r="Y188" s="186"/>
      <x:c r="Z188" s="186"/>
    </x:row>
    <x:row r="189">
      <x:c r="A189" s="186"/>
      <x:c r="B189" s="186"/>
      <x:c r="C189" s="186"/>
      <x:c r="D189" s="186"/>
      <x:c r="E189" s="186"/>
      <x:c r="F189" s="186"/>
      <x:c r="G189" s="186"/>
      <x:c r="H189" s="186"/>
      <x:c r="I189" s="186"/>
      <x:c r="J189" s="186"/>
      <x:c r="K189" s="186"/>
      <x:c r="L189" s="186"/>
      <x:c r="M189" s="186"/>
      <x:c r="N189" s="186"/>
      <x:c r="O189" s="186"/>
      <x:c r="P189" s="186"/>
      <x:c r="Q189" s="186"/>
      <x:c r="R189" s="186"/>
      <x:c r="S189" s="186"/>
      <x:c r="T189" s="186"/>
      <x:c r="U189" s="186"/>
      <x:c r="V189" s="186"/>
      <x:c r="W189" s="186"/>
      <x:c r="X189" s="186"/>
      <x:c r="Y189" s="186"/>
      <x:c r="Z189" s="186"/>
    </x:row>
    <x:row r="190">
      <x:c r="A190" s="186"/>
      <x:c r="B190" s="186"/>
      <x:c r="C190" s="186"/>
      <x:c r="D190" s="186"/>
      <x:c r="E190" s="186"/>
      <x:c r="F190" s="186"/>
      <x:c r="G190" s="186"/>
      <x:c r="H190" s="186"/>
      <x:c r="I190" s="186"/>
      <x:c r="J190" s="186"/>
      <x:c r="K190" s="186"/>
      <x:c r="L190" s="186"/>
      <x:c r="M190" s="186"/>
      <x:c r="N190" s="186"/>
      <x:c r="O190" s="186"/>
      <x:c r="P190" s="186"/>
      <x:c r="Q190" s="186"/>
      <x:c r="R190" s="186"/>
      <x:c r="S190" s="186"/>
      <x:c r="T190" s="186"/>
      <x:c r="U190" s="186"/>
      <x:c r="V190" s="186"/>
      <x:c r="W190" s="186"/>
      <x:c r="X190" s="186"/>
      <x:c r="Y190" s="186"/>
      <x:c r="Z190" s="186"/>
    </x:row>
    <x:row r="191">
      <x:c r="A191" s="186"/>
      <x:c r="B191" s="186"/>
      <x:c r="C191" s="186"/>
      <x:c r="D191" s="186"/>
      <x:c r="E191" s="186"/>
      <x:c r="F191" s="186"/>
      <x:c r="G191" s="186"/>
      <x:c r="H191" s="186"/>
      <x:c r="I191" s="186"/>
      <x:c r="J191" s="186"/>
      <x:c r="K191" s="186"/>
      <x:c r="L191" s="186"/>
      <x:c r="M191" s="186"/>
      <x:c r="N191" s="186"/>
      <x:c r="O191" s="186"/>
      <x:c r="P191" s="186"/>
      <x:c r="Q191" s="186"/>
      <x:c r="R191" s="186"/>
      <x:c r="S191" s="186"/>
      <x:c r="T191" s="186"/>
      <x:c r="U191" s="186"/>
      <x:c r="V191" s="186"/>
      <x:c r="W191" s="186"/>
      <x:c r="X191" s="186"/>
      <x:c r="Y191" s="186"/>
      <x:c r="Z191" s="186"/>
    </x:row>
    <x:row r="192">
      <x:c r="A192" s="186"/>
      <x:c r="B192" s="186"/>
      <x:c r="C192" s="186"/>
      <x:c r="D192" s="186"/>
      <x:c r="E192" s="186"/>
      <x:c r="F192" s="186"/>
      <x:c r="G192" s="186"/>
      <x:c r="H192" s="186"/>
      <x:c r="I192" s="186"/>
      <x:c r="J192" s="186"/>
      <x:c r="K192" s="186"/>
      <x:c r="L192" s="186"/>
      <x:c r="M192" s="186"/>
      <x:c r="N192" s="186"/>
      <x:c r="O192" s="186"/>
      <x:c r="P192" s="186"/>
      <x:c r="Q192" s="186"/>
      <x:c r="R192" s="186"/>
      <x:c r="S192" s="186"/>
      <x:c r="T192" s="186"/>
      <x:c r="U192" s="186"/>
      <x:c r="V192" s="186"/>
      <x:c r="W192" s="186"/>
      <x:c r="X192" s="186"/>
      <x:c r="Y192" s="186"/>
      <x:c r="Z192" s="186"/>
    </x:row>
    <x:row r="193">
      <x:c r="A193" s="186"/>
      <x:c r="B193" s="186"/>
      <x:c r="C193" s="186"/>
      <x:c r="D193" s="186"/>
      <x:c r="E193" s="186"/>
      <x:c r="F193" s="186"/>
      <x:c r="G193" s="186"/>
      <x:c r="H193" s="186"/>
      <x:c r="I193" s="186"/>
      <x:c r="J193" s="186"/>
      <x:c r="K193" s="186"/>
      <x:c r="L193" s="186"/>
      <x:c r="M193" s="186"/>
      <x:c r="N193" s="186"/>
      <x:c r="O193" s="186"/>
      <x:c r="P193" s="186"/>
      <x:c r="Q193" s="186"/>
      <x:c r="R193" s="186"/>
      <x:c r="S193" s="186"/>
      <x:c r="T193" s="186"/>
      <x:c r="U193" s="186"/>
      <x:c r="V193" s="186"/>
      <x:c r="W193" s="186"/>
      <x:c r="X193" s="186"/>
      <x:c r="Y193" s="186"/>
      <x:c r="Z193" s="186"/>
    </x:row>
    <x:row r="194">
      <x:c r="A194" s="186"/>
      <x:c r="B194" s="186"/>
      <x:c r="C194" s="186"/>
      <x:c r="D194" s="186"/>
      <x:c r="E194" s="186"/>
      <x:c r="F194" s="186"/>
      <x:c r="G194" s="186"/>
      <x:c r="H194" s="186"/>
      <x:c r="I194" s="186"/>
      <x:c r="J194" s="186"/>
      <x:c r="K194" s="186"/>
      <x:c r="L194" s="186"/>
      <x:c r="M194" s="186"/>
      <x:c r="N194" s="186"/>
      <x:c r="O194" s="186"/>
      <x:c r="P194" s="186"/>
      <x:c r="Q194" s="186"/>
      <x:c r="R194" s="186"/>
      <x:c r="S194" s="186"/>
      <x:c r="T194" s="186"/>
      <x:c r="U194" s="186"/>
      <x:c r="V194" s="186"/>
      <x:c r="W194" s="186"/>
      <x:c r="X194" s="186"/>
      <x:c r="Y194" s="186"/>
      <x:c r="Z194" s="186"/>
    </x:row>
    <x:row r="195">
      <x:c r="A195" s="186"/>
      <x:c r="B195" s="186"/>
      <x:c r="C195" s="186"/>
      <x:c r="D195" s="186"/>
      <x:c r="E195" s="186"/>
      <x:c r="F195" s="186"/>
      <x:c r="G195" s="186"/>
      <x:c r="H195" s="186"/>
      <x:c r="I195" s="186"/>
      <x:c r="J195" s="186"/>
      <x:c r="K195" s="186"/>
      <x:c r="L195" s="186"/>
      <x:c r="M195" s="186"/>
      <x:c r="N195" s="186"/>
      <x:c r="O195" s="186"/>
      <x:c r="P195" s="186"/>
      <x:c r="Q195" s="186"/>
      <x:c r="R195" s="186"/>
      <x:c r="S195" s="186"/>
      <x:c r="T195" s="186"/>
      <x:c r="U195" s="186"/>
      <x:c r="V195" s="186"/>
      <x:c r="W195" s="186"/>
      <x:c r="X195" s="186"/>
      <x:c r="Y195" s="186"/>
      <x:c r="Z195" s="186"/>
    </x:row>
    <x:row r="196">
      <x:c r="A196" s="186"/>
      <x:c r="B196" s="186"/>
      <x:c r="C196" s="186"/>
      <x:c r="D196" s="186"/>
      <x:c r="E196" s="186"/>
      <x:c r="F196" s="186"/>
      <x:c r="G196" s="186"/>
      <x:c r="H196" s="186"/>
      <x:c r="I196" s="186"/>
      <x:c r="J196" s="186"/>
      <x:c r="K196" s="186"/>
      <x:c r="L196" s="186"/>
      <x:c r="M196" s="186"/>
      <x:c r="N196" s="186"/>
      <x:c r="O196" s="186"/>
      <x:c r="P196" s="186"/>
      <x:c r="Q196" s="186"/>
      <x:c r="R196" s="186"/>
      <x:c r="S196" s="186"/>
      <x:c r="T196" s="186"/>
      <x:c r="U196" s="186"/>
      <x:c r="V196" s="186"/>
      <x:c r="W196" s="186"/>
      <x:c r="X196" s="186"/>
      <x:c r="Y196" s="186"/>
      <x:c r="Z196" s="186"/>
    </x:row>
    <x:row r="197">
      <x:c r="A197" s="186"/>
      <x:c r="B197" s="186"/>
      <x:c r="C197" s="186"/>
      <x:c r="D197" s="186"/>
      <x:c r="E197" s="186"/>
      <x:c r="F197" s="186"/>
      <x:c r="G197" s="186"/>
      <x:c r="H197" s="186"/>
      <x:c r="I197" s="186"/>
      <x:c r="J197" s="186"/>
      <x:c r="K197" s="186"/>
      <x:c r="L197" s="186"/>
      <x:c r="M197" s="186"/>
      <x:c r="N197" s="186"/>
      <x:c r="O197" s="186"/>
      <x:c r="P197" s="186"/>
      <x:c r="Q197" s="186"/>
      <x:c r="R197" s="186"/>
      <x:c r="S197" s="186"/>
      <x:c r="T197" s="186"/>
      <x:c r="U197" s="186"/>
      <x:c r="V197" s="186"/>
      <x:c r="W197" s="186"/>
      <x:c r="X197" s="186"/>
      <x:c r="Y197" s="186"/>
      <x:c r="Z197" s="186"/>
    </x:row>
    <x:row r="198">
      <x:c r="A198" s="186"/>
      <x:c r="B198" s="186"/>
      <x:c r="C198" s="186"/>
      <x:c r="D198" s="186"/>
      <x:c r="E198" s="186"/>
      <x:c r="F198" s="186"/>
      <x:c r="G198" s="186"/>
      <x:c r="H198" s="186"/>
      <x:c r="I198" s="186"/>
      <x:c r="J198" s="186"/>
      <x:c r="K198" s="186"/>
      <x:c r="L198" s="186"/>
      <x:c r="M198" s="186"/>
      <x:c r="N198" s="186"/>
      <x:c r="O198" s="186"/>
      <x:c r="P198" s="186"/>
      <x:c r="Q198" s="186"/>
      <x:c r="R198" s="186"/>
      <x:c r="S198" s="186"/>
      <x:c r="T198" s="186"/>
      <x:c r="U198" s="186"/>
      <x:c r="V198" s="186"/>
      <x:c r="W198" s="186"/>
      <x:c r="X198" s="186"/>
      <x:c r="Y198" s="186"/>
      <x:c r="Z198" s="186"/>
    </x:row>
    <x:row r="199">
      <x:c r="A199" s="186"/>
      <x:c r="B199" s="186"/>
      <x:c r="C199" s="186"/>
      <x:c r="D199" s="186"/>
      <x:c r="E199" s="186"/>
      <x:c r="F199" s="186"/>
      <x:c r="G199" s="186"/>
      <x:c r="H199" s="186"/>
      <x:c r="I199" s="186"/>
      <x:c r="J199" s="186"/>
      <x:c r="K199" s="186"/>
      <x:c r="L199" s="186"/>
      <x:c r="M199" s="186"/>
      <x:c r="N199" s="186"/>
      <x:c r="O199" s="186"/>
      <x:c r="P199" s="186"/>
      <x:c r="Q199" s="186"/>
      <x:c r="R199" s="186"/>
      <x:c r="S199" s="186"/>
      <x:c r="T199" s="186"/>
      <x:c r="U199" s="186"/>
      <x:c r="V199" s="186"/>
      <x:c r="W199" s="186"/>
      <x:c r="X199" s="186"/>
      <x:c r="Y199" s="186"/>
      <x:c r="Z199" s="186"/>
    </x:row>
    <x:row r="200">
      <x:c r="A200" s="186"/>
      <x:c r="B200" s="186"/>
      <x:c r="C200" s="186"/>
      <x:c r="D200" s="186"/>
      <x:c r="E200" s="186"/>
      <x:c r="F200" s="186"/>
      <x:c r="G200" s="186"/>
      <x:c r="H200" s="186"/>
      <x:c r="I200" s="186"/>
      <x:c r="J200" s="186"/>
      <x:c r="K200" s="186"/>
      <x:c r="L200" s="186"/>
      <x:c r="M200" s="186"/>
      <x:c r="N200" s="186"/>
      <x:c r="O200" s="186"/>
      <x:c r="P200" s="186"/>
      <x:c r="Q200" s="186"/>
      <x:c r="R200" s="186"/>
      <x:c r="S200" s="186"/>
      <x:c r="T200" s="186"/>
      <x:c r="U200" s="186"/>
      <x:c r="V200" s="186"/>
      <x:c r="W200" s="186"/>
      <x:c r="X200" s="186"/>
      <x:c r="Y200" s="186"/>
      <x:c r="Z200" s="18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24308047cbb4d6e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4" hidden="0" customWidth="1"/>
    <x:col min="8" max="8" width="36" hidden="0" customWidth="1"/>
    <x:col min="9" max="9" width="36" hidden="0" customWidth="1"/>
    <x:col min="10" max="10" width="20" hidden="0" customWidth="1"/>
    <x:col min="11" max="11" width="30" hidden="0" customWidth="1"/>
    <x:col min="12" max="12" width="20" hidden="0" customWidth="1"/>
    <x:col min="13" max="13" width="36" hidden="0" customWidth="1"/>
  </x:cols>
  <x:sheetData>
    <x:row r="1">
      <x:c r="A1" s="192" t="str">
        <x:v>难次</x:v>
      </x:c>
      <x:c r="B1" s="192" t="str">
        <x:v>第99回原文难名</x:v>
      </x:c>
      <x:c r="C1" s="192" t="str">
        <x:v>现代通行释名</x:v>
      </x:c>
      <x:c r="D1" s="192" t="str">
        <x:v>对应回目/情节</x:v>
      </x:c>
      <x:c r="E1" s="192" t="str">
        <x:v>叙事阶段</x:v>
      </x:c>
      <x:c r="F1" s="192" t="str">
        <x:v>主题大类</x:v>
      </x:c>
      <x:c r="G1" s="192" t="str">
        <x:v>关键对象/系统</x:v>
      </x:c>
      <x:c r="H1" s="192" t="str">
        <x:v>校注要点</x:v>
      </x:c>
      <x:c r="I1" s="192" t="str">
        <x:v>可写观点</x:v>
      </x:c>
      <x:c r="J1" s="192" t="str">
        <x:v>原文证据位置</x:v>
      </x:c>
      <x:c r="K1" s="192" t="str">
        <x:v>证据级别</x:v>
      </x:c>
      <x:c r="L1" s="192" t="str">
        <x:v>校核状态</x:v>
      </x:c>
      <x:c r="M1" s="192" t="str">
        <x:v>来源URL</x:v>
      </x:c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93" t="n">
        <x:v>1</x:v>
      </x:c>
      <x:c r="B2" s="193" t="str">
        <x:v>金蟬遭貶</x:v>
      </x:c>
      <x:c r="C2" s="193" t="str">
        <x:v>金蝉遭贬</x:v>
      </x:c>
      <x:c r="D2" s="193" t="str">
        <x:v>前世因果/第99回难簿</x:v>
      </x:c>
      <x:c r="E2" s="193" t="str">
        <x:v>身世与取经前因</x:v>
      </x:c>
      <x:c r="F2" s="193" t="str">
        <x:v>身世/冤案</x:v>
      </x:c>
      <x:c r="G2" s="193" t="str">
        <x:v>唐僧师徒、护法诸神</x:v>
      </x:c>
      <x:c r="H2" s="193" t="str">
        <x:v>取经因果不是从出发才开始，个人身世、前世贬谪与因缘构成“第一组难”。</x:v>
      </x:c>
      <x:c r="I2" s="193" t="str">
        <x:v>可从“金蝉遭贬”切入，写成“难—心性—组织/制度—人生启示”的短文。</x:v>
      </x:c>
      <x:c r="J2" s="193" t="str">
        <x:v>第99回难簿明列</x:v>
      </x:c>
      <x:c r="K2" s="193" t="str">
        <x:v>一级证据：维基文库第99回；二级证据：对应回目待逐条补摘</x:v>
      </x:c>
      <x:c r="L2" s="193" t="str">
        <x:v>已据第99回难簿校核</x:v>
      </x:c>
      <x:c r="M2" s="193" t="str">
        <x:v>https://zh.wikisource.org/wiki/%E8%A5%BF%E9%81%8A%E8%A8%98/%E7%AC%AC099%E5%9B%9E</x:v>
      </x:c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93" t="n">
        <x:v>2</x:v>
      </x:c>
      <x:c r="B3" s="193" t="str">
        <x:v>出胎幾殺</x:v>
      </x:c>
      <x:c r="C3" s="193" t="str">
        <x:v>出胎几杀</x:v>
      </x:c>
      <x:c r="D3" s="193" t="str">
        <x:v>第9—12回</x:v>
      </x:c>
      <x:c r="E3" s="193" t="str">
        <x:v>身世与取经前因</x:v>
      </x:c>
      <x:c r="F3" s="193" t="str">
        <x:v>身世/冤案</x:v>
      </x:c>
      <x:c r="G3" s="193" t="str">
        <x:v>唐僧师徒、护法诸神</x:v>
      </x:c>
      <x:c r="H3" s="193" t="str">
        <x:v>取经因果不是从出发才开始，个人身世、前世贬谪与因缘构成“第一组难”。</x:v>
      </x:c>
      <x:c r="I3" s="193" t="str">
        <x:v>可从“出胎几杀”切入，写成“难—心性—组织/制度—人生启示”的短文。</x:v>
      </x:c>
      <x:c r="J3" s="193" t="str">
        <x:v>第99回难簿明列</x:v>
      </x:c>
      <x:c r="K3" s="193" t="str">
        <x:v>一级证据：维基文库第99回；二级证据：对应回目待逐条补摘</x:v>
      </x:c>
      <x:c r="L3" s="193" t="str">
        <x:v>已据第99回难簿校核</x:v>
      </x:c>
      <x:c r="M3" s="193" t="str">
        <x:v>https://zh.wikisource.org/wiki/%E8%A5%BF%E9%81%8A%E8%A8%98/%E7%AC%AC099%E5%9B%9E</x:v>
      </x:c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93" t="n">
        <x:v>3</x:v>
      </x:c>
      <x:c r="B4" s="193" t="str">
        <x:v>滿月拋江</x:v>
      </x:c>
      <x:c r="C4" s="193" t="str">
        <x:v>满月抛江</x:v>
      </x:c>
      <x:c r="D4" s="193" t="str">
        <x:v>第9—12回</x:v>
      </x:c>
      <x:c r="E4" s="193" t="str">
        <x:v>身世与取经前因</x:v>
      </x:c>
      <x:c r="F4" s="193" t="str">
        <x:v>身世/冤案</x:v>
      </x:c>
      <x:c r="G4" s="193" t="str">
        <x:v>唐僧师徒、护法诸神</x:v>
      </x:c>
      <x:c r="H4" s="193" t="str">
        <x:v>取经因果不是从出发才开始，个人身世、前世贬谪与因缘构成“第一组难”。</x:v>
      </x:c>
      <x:c r="I4" s="193" t="str">
        <x:v>可从“满月抛江”切入，写成“难—心性—组织/制度—人生启示”的短文。</x:v>
      </x:c>
      <x:c r="J4" s="193" t="str">
        <x:v>第99回难簿明列</x:v>
      </x:c>
      <x:c r="K4" s="193" t="str">
        <x:v>一级证据：维基文库第99回；二级证据：对应回目待逐条补摘</x:v>
      </x:c>
      <x:c r="L4" s="193" t="str">
        <x:v>已据第99回难簿校核</x:v>
      </x:c>
      <x:c r="M4" s="193" t="str">
        <x:v>https://zh.wikisource.org/wiki/%E8%A5%BF%E9%81%8A%E8%A8%98/%E7%AC%AC099%E5%9B%9E</x:v>
      </x:c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93" t="n">
        <x:v>4</x:v>
      </x:c>
      <x:c r="B5" s="193" t="str">
        <x:v>尋親報冤</x:v>
      </x:c>
      <x:c r="C5" s="193" t="str">
        <x:v>寻亲报冤</x:v>
      </x:c>
      <x:c r="D5" s="193" t="str">
        <x:v>第9—12回</x:v>
      </x:c>
      <x:c r="E5" s="193" t="str">
        <x:v>身世与取经前因</x:v>
      </x:c>
      <x:c r="F5" s="193" t="str">
        <x:v>身世/冤案</x:v>
      </x:c>
      <x:c r="G5" s="193" t="str">
        <x:v>唐僧师徒、护法诸神</x:v>
      </x:c>
      <x:c r="H5" s="193" t="str">
        <x:v>取经因果不是从出发才开始，个人身世、前世贬谪与因缘构成“第一组难”。</x:v>
      </x:c>
      <x:c r="I5" s="193" t="str">
        <x:v>可从“寻亲报冤”切入，写成“难—心性—组织/制度—人生启示”的短文。</x:v>
      </x:c>
      <x:c r="J5" s="193" t="str">
        <x:v>第99回难簿明列</x:v>
      </x:c>
      <x:c r="K5" s="193" t="str">
        <x:v>一级证据：维基文库第99回；二级证据：对应回目待逐条补摘</x:v>
      </x:c>
      <x:c r="L5" s="193" t="str">
        <x:v>已据第99回难簿校核</x:v>
      </x:c>
      <x:c r="M5" s="193" t="str">
        <x:v>https://zh.wikisource.org/wiki/%E8%A5%BF%E9%81%8A%E8%A8%98/%E7%AC%AC099%E5%9B%9E</x:v>
      </x:c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93" t="n">
        <x:v>5</x:v>
      </x:c>
      <x:c r="B6" s="193" t="str">
        <x:v>出城逢虎</x:v>
      </x:c>
      <x:c r="C6" s="193" t="str">
        <x:v>出城逢虎</x:v>
      </x:c>
      <x:c r="D6" s="193" t="str">
        <x:v>第13回</x:v>
      </x:c>
      <x:c r="E6" s="193" t="str">
        <x:v>出发与团队成型</x:v>
      </x:c>
      <x:c r="F6" s="193" t="str">
        <x:v>环境/天灾/路阻</x:v>
      </x:c>
      <x:c r="G6" s="193" t="str">
        <x:v>唐僧师徒、护法诸神</x:v>
      </x:c>
      <x:c r="H6" s="193" t="str">
        <x:v>国家、宫廷、制度系统本身也会成为取经障碍。</x:v>
      </x:c>
      <x:c r="I6" s="193" t="str">
        <x:v>可从“出城逢虎”切入，写成“难—心性—组织/制度—人生启示”的短文。</x:v>
      </x:c>
      <x:c r="J6" s="193" t="str">
        <x:v>第99回难簿明列</x:v>
      </x:c>
      <x:c r="K6" s="193" t="str">
        <x:v>一级证据：维基文库第99回；二级证据：对应回目待逐条补摘</x:v>
      </x:c>
      <x:c r="L6" s="193" t="str">
        <x:v>已据第99回难簿校核</x:v>
      </x:c>
      <x:c r="M6" s="193" t="str">
        <x:v>https://zh.wikisource.org/wiki/%E8%A5%BF%E9%81%8A%E8%A8%98/%E7%AC%AC099%E5%9B%9E</x:v>
      </x:c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93" t="n">
        <x:v>6</x:v>
      </x:c>
      <x:c r="B7" s="193" t="str">
        <x:v>折從落坑</x:v>
      </x:c>
      <x:c r="C7" s="193" t="str">
        <x:v>折从落坑</x:v>
      </x:c>
      <x:c r="D7" s="193" t="str">
        <x:v>第13回</x:v>
      </x:c>
      <x:c r="E7" s="193" t="str">
        <x:v>出发与团队成型</x:v>
      </x:c>
      <x:c r="F7" s="193" t="str">
        <x:v>修行/归真</x:v>
      </x:c>
      <x:c r="G7" s="193" t="str">
        <x:v>唐僧师徒、护法诸神</x:v>
      </x:c>
      <x:c r="H7" s="193" t="str">
        <x:v>以第99回难簿为主证据，再与对应回目原文逐条复核。</x:v>
      </x:c>
      <x:c r="I7" s="193" t="str">
        <x:v>可从“折从落坑”切入，写成“难—心性—组织/制度—人生启示”的短文。</x:v>
      </x:c>
      <x:c r="J7" s="193" t="str">
        <x:v>第99回难簿明列</x:v>
      </x:c>
      <x:c r="K7" s="193" t="str">
        <x:v>一级证据：维基文库第99回；二级证据：对应回目待逐条补摘</x:v>
      </x:c>
      <x:c r="L7" s="193" t="str">
        <x:v>已据第99回难簿校核</x:v>
      </x:c>
      <x:c r="M7" s="193" t="str">
        <x:v>https://zh.wikisource.org/wiki/%E8%A5%BF%E9%81%8A%E8%A8%98/%E7%AC%AC099%E5%9B%9E</x:v>
      </x:c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93" t="n">
        <x:v>7</x:v>
      </x:c>
      <x:c r="B8" s="193" t="str">
        <x:v>雙叉嶺上</x:v>
      </x:c>
      <x:c r="C8" s="193" t="str">
        <x:v>双叉岭上</x:v>
      </x:c>
      <x:c r="D8" s="193" t="str">
        <x:v>第13回</x:v>
      </x:c>
      <x:c r="E8" s="193" t="str">
        <x:v>出发与团队成型</x:v>
      </x:c>
      <x:c r="F8" s="193" t="str">
        <x:v>修行/归真</x:v>
      </x:c>
      <x:c r="G8" s="193" t="str">
        <x:v>唐僧师徒、护法诸神</x:v>
      </x:c>
      <x:c r="H8" s="193" t="str">
        <x:v>以第99回难簿为主证据，再与对应回目原文逐条复核。</x:v>
      </x:c>
      <x:c r="I8" s="193" t="str">
        <x:v>可从“双叉岭上”切入，写成“难—心性—组织/制度—人生启示”的短文。</x:v>
      </x:c>
      <x:c r="J8" s="193" t="str">
        <x:v>第99回难簿明列</x:v>
      </x:c>
      <x:c r="K8" s="193" t="str">
        <x:v>一级证据：维基文库第99回；二级证据：对应回目待逐条补摘</x:v>
      </x:c>
      <x:c r="L8" s="193" t="str">
        <x:v>已据第99回难簿校核</x:v>
      </x:c>
      <x:c r="M8" s="193" t="str">
        <x:v>https://zh.wikisource.org/wiki/%E8%A5%BF%E9%81%8A%E8%A8%98/%E7%AC%AC099%E5%9B%9E</x:v>
      </x:c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93" t="n">
        <x:v>8</x:v>
      </x:c>
      <x:c r="B9" s="193" t="str">
        <x:v>兩界山頭</x:v>
      </x:c>
      <x:c r="C9" s="193" t="str">
        <x:v>两界山头</x:v>
      </x:c>
      <x:c r="D9" s="193" t="str">
        <x:v>第14回</x:v>
      </x:c>
      <x:c r="E9" s="193" t="str">
        <x:v>出发与团队成型</x:v>
      </x:c>
      <x:c r="F9" s="193" t="str">
        <x:v>妖怪/后台</x:v>
      </x:c>
      <x:c r="G9" s="193" t="str">
        <x:v>唐僧师徒、护法诸神</x:v>
      </x:c>
      <x:c r="H9" s="193" t="str">
        <x:v>以第99回难簿为主证据，再与对应回目原文逐条复核。</x:v>
      </x:c>
      <x:c r="I9" s="193" t="str">
        <x:v>可从“两界山头”切入，写成“难—心性—组织/制度—人生启示”的短文。</x:v>
      </x:c>
      <x:c r="J9" s="193" t="str">
        <x:v>第99回难簿明列</x:v>
      </x:c>
      <x:c r="K9" s="193" t="str">
        <x:v>一级证据：维基文库第99回；二级证据：对应回目待逐条补摘</x:v>
      </x:c>
      <x:c r="L9" s="193" t="str">
        <x:v>已据第99回难簿校核</x:v>
      </x:c>
      <x:c r="M9" s="193" t="str">
        <x:v>https://zh.wikisource.org/wiki/%E8%A5%BF%E9%81%8A%E8%A8%98/%E7%AC%AC099%E5%9B%9E</x:v>
      </x:c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93" t="n">
        <x:v>9</x:v>
      </x:c>
      <x:c r="B10" s="193" t="str">
        <x:v>陡澗換馬</x:v>
      </x:c>
      <x:c r="C10" s="193" t="str">
        <x:v>陡涧换马</x:v>
      </x:c>
      <x:c r="D10" s="193" t="str">
        <x:v>第15回</x:v>
      </x:c>
      <x:c r="E10" s="193" t="str">
        <x:v>出发与团队成型</x:v>
      </x:c>
      <x:c r="F10" s="193" t="str">
        <x:v>修行/归真</x:v>
      </x:c>
      <x:c r="G10" s="193" t="str">
        <x:v>唐僧师徒、护法诸神</x:v>
      </x:c>
      <x:c r="H10" s="193" t="str">
        <x:v>以第99回难簿为主证据，再与对应回目原文逐条复核。</x:v>
      </x:c>
      <x:c r="I10" s="193" t="str">
        <x:v>可从“陡涧换马”切入，写成“难—心性—组织/制度—人生启示”的短文。</x:v>
      </x:c>
      <x:c r="J10" s="193" t="str">
        <x:v>第99回难簿明列</x:v>
      </x:c>
      <x:c r="K10" s="193" t="str">
        <x:v>一级证据：维基文库第99回；二级证据：对应回目待逐条补摘</x:v>
      </x:c>
      <x:c r="L10" s="193" t="str">
        <x:v>已据第99回难簿校核</x:v>
      </x:c>
      <x:c r="M10" s="193" t="str">
        <x:v>https://zh.wikisource.org/wiki/%E8%A5%BF%E9%81%8A%E8%A8%98/%E7%AC%AC099%E5%9B%9E</x:v>
      </x:c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93" t="n">
        <x:v>10</x:v>
      </x:c>
      <x:c r="B11" s="193" t="str">
        <x:v>夜被火燒</x:v>
      </x:c>
      <x:c r="C11" s="193" t="str">
        <x:v>夜被火烧</x:v>
      </x:c>
      <x:c r="D11" s="193" t="str">
        <x:v>第16回</x:v>
      </x:c>
      <x:c r="E11" s="193" t="str">
        <x:v>出发与团队成型</x:v>
      </x:c>
      <x:c r="F11" s="193" t="str">
        <x:v>修行/归真</x:v>
      </x:c>
      <x:c r="G11" s="193" t="str">
        <x:v>唐僧师徒、护法诸神</x:v>
      </x:c>
      <x:c r="H11" s="193" t="str">
        <x:v>以第99回难簿为主证据，再与对应回目原文逐条复核。</x:v>
      </x:c>
      <x:c r="I11" s="193" t="str">
        <x:v>可从“夜被火烧”切入，写成“难—心性—组织/制度—人生启示”的短文。</x:v>
      </x:c>
      <x:c r="J11" s="193" t="str">
        <x:v>第99回难簿明列</x:v>
      </x:c>
      <x:c r="K11" s="193" t="str">
        <x:v>一级证据：维基文库第99回；二级证据：对应回目待逐条补摘</x:v>
      </x:c>
      <x:c r="L11" s="193" t="str">
        <x:v>已据第99回难簿校核</x:v>
      </x:c>
      <x:c r="M11" s="193" t="str">
        <x:v>https://zh.wikisource.org/wiki/%E8%A5%BF%E9%81%8A%E8%A8%98/%E7%AC%AC099%E5%9B%9E</x:v>
      </x:c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93" t="n">
        <x:v>11</x:v>
      </x:c>
      <x:c r="B12" s="193" t="str">
        <x:v>失卻袈裟</x:v>
      </x:c>
      <x:c r="C12" s="193" t="str">
        <x:v>失却袈裟</x:v>
      </x:c>
      <x:c r="D12" s="193" t="str">
        <x:v>第16—17回</x:v>
      </x:c>
      <x:c r="E12" s="193" t="str">
        <x:v>出发与团队成型</x:v>
      </x:c>
      <x:c r="F12" s="193" t="str">
        <x:v>资源/法宝</x:v>
      </x:c>
      <x:c r="G12" s="193" t="str">
        <x:v>金池长老、黑熊精</x:v>
      </x:c>
      <x:c r="H12" s="193" t="str">
        <x:v>关键资源一旦错配、被窃或失控，风险会高于普通武力冲突。</x:v>
      </x:c>
      <x:c r="I12" s="193" t="str">
        <x:v>可从“失却袈裟”切入，写成“难—心性—组织/制度—人生启示”的短文。</x:v>
      </x:c>
      <x:c r="J12" s="193" t="str">
        <x:v>第99回难簿明列</x:v>
      </x:c>
      <x:c r="K12" s="193" t="str">
        <x:v>一级证据：维基文库第99回；二级证据：对应回目待逐条补摘</x:v>
      </x:c>
      <x:c r="L12" s="193" t="str">
        <x:v>已据第99回难簿校核</x:v>
      </x:c>
      <x:c r="M12" s="193" t="str">
        <x:v>https://zh.wikisource.org/wiki/%E8%A5%BF%E9%81%8A%E8%A8%98/%E7%AC%AC099%E5%9B%9E</x:v>
      </x:c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93" t="n">
        <x:v>12</x:v>
      </x:c>
      <x:c r="B13" s="193" t="str">
        <x:v>收降八戒</x:v>
      </x:c>
      <x:c r="C13" s="193" t="str">
        <x:v>收降八戒</x:v>
      </x:c>
      <x:c r="D13" s="193" t="str">
        <x:v>第18—19回</x:v>
      </x:c>
      <x:c r="E13" s="193" t="str">
        <x:v>出发与团队成型</x:v>
      </x:c>
      <x:c r="F13" s="193" t="str">
        <x:v>团队/心性</x:v>
      </x:c>
      <x:c r="G13" s="193" t="str">
        <x:v>猪八戒</x:v>
      </x:c>
      <x:c r="H13" s="193" t="str">
        <x:v>以第99回难簿为主证据，再与对应回目原文逐条复核。</x:v>
      </x:c>
      <x:c r="I13" s="193" t="str">
        <x:v>可从“收降八戒”切入，写成“难—心性—组织/制度—人生启示”的短文。</x:v>
      </x:c>
      <x:c r="J13" s="193" t="str">
        <x:v>第99回难簿明列</x:v>
      </x:c>
      <x:c r="K13" s="193" t="str">
        <x:v>一级证据：维基文库第99回；二级证据：对应回目待逐条补摘</x:v>
      </x:c>
      <x:c r="L13" s="193" t="str">
        <x:v>已据第99回难簿校核</x:v>
      </x:c>
      <x:c r="M13" s="193" t="str">
        <x:v>https://zh.wikisource.org/wiki/%E8%A5%BF%E9%81%8A%E8%A8%98/%E7%AC%AC099%E5%9B%9E</x:v>
      </x:c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93" t="n">
        <x:v>13</x:v>
      </x:c>
      <x:c r="B14" s="193" t="str">
        <x:v>黃風怪阻</x:v>
      </x:c>
      <x:c r="C14" s="193" t="str">
        <x:v>黄风怪阻</x:v>
      </x:c>
      <x:c r="D14" s="193" t="str">
        <x:v>第20回</x:v>
      </x:c>
      <x:c r="E14" s="193" t="str">
        <x:v>出发与团队成型</x:v>
      </x:c>
      <x:c r="F14" s="193" t="str">
        <x:v>妖怪/后台</x:v>
      </x:c>
      <x:c r="G14" s="193" t="str">
        <x:v>黄风怪、灵吉菩萨</x:v>
      </x:c>
      <x:c r="H14" s="193" t="str">
        <x:v>以第99回难簿为主证据，再与对应回目原文逐条复核。</x:v>
      </x:c>
      <x:c r="I14" s="193" t="str">
        <x:v>可从“黄风怪阻”切入，写成“难—心性—组织/制度—人生启示”的短文。</x:v>
      </x:c>
      <x:c r="J14" s="193" t="str">
        <x:v>第99回难簿明列</x:v>
      </x:c>
      <x:c r="K14" s="193" t="str">
        <x:v>一级证据：维基文库第99回；二级证据：对应回目待逐条补摘</x:v>
      </x:c>
      <x:c r="L14" s="193" t="str">
        <x:v>已据第99回难簿校核</x:v>
      </x:c>
      <x:c r="M14" s="193" t="str">
        <x:v>https://zh.wikisource.org/wiki/%E8%A5%BF%E9%81%8A%E8%A8%98/%E7%AC%AC099%E5%9B%9E</x:v>
      </x:c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93" t="n">
        <x:v>14</x:v>
      </x:c>
      <x:c r="B15" s="193" t="str">
        <x:v>請求靈吉</x:v>
      </x:c>
      <x:c r="C15" s="193" t="str">
        <x:v>请求灵吉</x:v>
      </x:c>
      <x:c r="D15" s="193" t="str">
        <x:v>第21回</x:v>
      </x:c>
      <x:c r="E15" s="193" t="str">
        <x:v>出发与团队成型</x:v>
      </x:c>
      <x:c r="F15" s="193" t="str">
        <x:v>修行/归真</x:v>
      </x:c>
      <x:c r="G15" s="193" t="str">
        <x:v>唐僧师徒、护法诸神</x:v>
      </x:c>
      <x:c r="H15" s="193" t="str">
        <x:v>以第99回难簿为主证据，再与对应回目原文逐条复核。</x:v>
      </x:c>
      <x:c r="I15" s="193" t="str">
        <x:v>可从“请求灵吉”切入，写成“难—心性—组织/制度—人生启示”的短文。</x:v>
      </x:c>
      <x:c r="J15" s="193" t="str">
        <x:v>第99回难簿明列</x:v>
      </x:c>
      <x:c r="K15" s="193" t="str">
        <x:v>一级证据：维基文库第99回；二级证据：对应回目待逐条补摘</x:v>
      </x:c>
      <x:c r="L15" s="193" t="str">
        <x:v>已据第99回难簿校核</x:v>
      </x:c>
      <x:c r="M15" s="193" t="str">
        <x:v>https://zh.wikisource.org/wiki/%E8%A5%BF%E9%81%8A%E8%A8%98/%E7%AC%AC099%E5%9B%9E</x:v>
      </x:c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93" t="n">
        <x:v>15</x:v>
      </x:c>
      <x:c r="B16" s="193" t="str">
        <x:v>流沙難渡</x:v>
      </x:c>
      <x:c r="C16" s="193" t="str">
        <x:v>流沙难渡</x:v>
      </x:c>
      <x:c r="D16" s="193" t="str">
        <x:v>第22回</x:v>
      </x:c>
      <x:c r="E16" s="193" t="str">
        <x:v>出发与团队成型</x:v>
      </x:c>
      <x:c r="F16" s="193" t="str">
        <x:v>修行/归真</x:v>
      </x:c>
      <x:c r="G16" s="193" t="str">
        <x:v>沙悟净</x:v>
      </x:c>
      <x:c r="H16" s="193" t="str">
        <x:v>以第99回难簿为主证据，再与对应回目原文逐条复核。</x:v>
      </x:c>
      <x:c r="I16" s="193" t="str">
        <x:v>可从“流沙难渡”切入，写成“难—心性—组织/制度—人生启示”的短文。</x:v>
      </x:c>
      <x:c r="J16" s="193" t="str">
        <x:v>第99回难簿明列</x:v>
      </x:c>
      <x:c r="K16" s="193" t="str">
        <x:v>一级证据：维基文库第99回；二级证据：对应回目待逐条补摘</x:v>
      </x:c>
      <x:c r="L16" s="193" t="str">
        <x:v>已据第99回难簿校核</x:v>
      </x:c>
      <x:c r="M16" s="193" t="str">
        <x:v>https://zh.wikisource.org/wiki/%E8%A5%BF%E9%81%8A%E8%A8%98/%E7%AC%AC099%E5%9B%9E</x:v>
      </x:c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93" t="n">
        <x:v>16</x:v>
      </x:c>
      <x:c r="B17" s="193" t="str">
        <x:v>收得沙僧</x:v>
      </x:c>
      <x:c r="C17" s="193" t="str">
        <x:v>收得沙僧</x:v>
      </x:c>
      <x:c r="D17" s="193" t="str">
        <x:v>第22回</x:v>
      </x:c>
      <x:c r="E17" s="193" t="str">
        <x:v>出发与团队成型</x:v>
      </x:c>
      <x:c r="F17" s="193" t="str">
        <x:v>团队/心性</x:v>
      </x:c>
      <x:c r="G17" s="193" t="str">
        <x:v>唐僧师徒、护法诸神</x:v>
      </x:c>
      <x:c r="H17" s="193" t="str">
        <x:v>以第99回难簿为主证据，再与对应回目原文逐条复核。</x:v>
      </x:c>
      <x:c r="I17" s="193" t="str">
        <x:v>可从“收得沙僧”切入，写成“难—心性—组织/制度—人生启示”的短文。</x:v>
      </x:c>
      <x:c r="J17" s="193" t="str">
        <x:v>第99回难簿明列</x:v>
      </x:c>
      <x:c r="K17" s="193" t="str">
        <x:v>一级证据：维基文库第99回；二级证据：对应回目待逐条补摘</x:v>
      </x:c>
      <x:c r="L17" s="193" t="str">
        <x:v>已据第99回难簿校核</x:v>
      </x:c>
      <x:c r="M17" s="193" t="str">
        <x:v>https://zh.wikisource.org/wiki/%E8%A5%BF%E9%81%8A%E8%A8%98/%E7%AC%AC099%E5%9B%9E</x:v>
      </x:c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93" t="n">
        <x:v>17</x:v>
      </x:c>
      <x:c r="B18" s="193" t="str">
        <x:v>四聖顯化</x:v>
      </x:c>
      <x:c r="C18" s="193" t="str">
        <x:v>四圣显化</x:v>
      </x:c>
      <x:c r="D18" s="193" t="str">
        <x:v>第23回</x:v>
      </x:c>
      <x:c r="E18" s="193" t="str">
        <x:v>初期磨合与团队信任</x:v>
      </x:c>
      <x:c r="F18" s="193" t="str">
        <x:v>团队/心性</x:v>
      </x:c>
      <x:c r="G18" s="193" t="str">
        <x:v>唐僧师徒、护法诸神</x:v>
      </x:c>
      <x:c r="H18" s="193" t="str">
        <x:v>以第99回难簿为主证据，再与对应回目原文逐条复核。</x:v>
      </x:c>
      <x:c r="I18" s="193" t="str">
        <x:v>可从“四圣显化”切入，写成“难—心性—组织/制度—人生启示”的短文。</x:v>
      </x:c>
      <x:c r="J18" s="193" t="str">
        <x:v>第99回难簿明列</x:v>
      </x:c>
      <x:c r="K18" s="193" t="str">
        <x:v>一级证据：维基文库第99回；二级证据：对应回目待逐条补摘</x:v>
      </x:c>
      <x:c r="L18" s="193" t="str">
        <x:v>已据第99回难簿校核</x:v>
      </x:c>
      <x:c r="M18" s="193" t="str">
        <x:v>https://zh.wikisource.org/wiki/%E8%A5%BF%E9%81%8A%E8%A8%98/%E7%AC%AC099%E5%9B%9E</x:v>
      </x:c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93" t="n">
        <x:v>18</x:v>
      </x:c>
      <x:c r="B19" s="193" t="str">
        <x:v>五莊觀中</x:v>
      </x:c>
      <x:c r="C19" s="193" t="str">
        <x:v>五庄观中</x:v>
      </x:c>
      <x:c r="D19" s="193" t="str">
        <x:v>第24—25回</x:v>
      </x:c>
      <x:c r="E19" s="193" t="str">
        <x:v>初期磨合与团队信任</x:v>
      </x:c>
      <x:c r="F19" s="193" t="str">
        <x:v>修行/归真</x:v>
      </x:c>
      <x:c r="G19" s="193" t="str">
        <x:v>唐僧师徒、护法诸神</x:v>
      </x:c>
      <x:c r="H19" s="193" t="str">
        <x:v>以第99回难簿为主证据，再与对应回目原文逐条复核。</x:v>
      </x:c>
      <x:c r="I19" s="193" t="str">
        <x:v>可从“五庄观中”切入，写成“难—心性—组织/制度—人生启示”的短文。</x:v>
      </x:c>
      <x:c r="J19" s="193" t="str">
        <x:v>第99回难簿明列</x:v>
      </x:c>
      <x:c r="K19" s="193" t="str">
        <x:v>一级证据：维基文库第99回；二级证据：对应回目待逐条补摘</x:v>
      </x:c>
      <x:c r="L19" s="193" t="str">
        <x:v>已据第99回难簿校核</x:v>
      </x:c>
      <x:c r="M19" s="193" t="str">
        <x:v>https://zh.wikisource.org/wiki/%E8%A5%BF%E9%81%8A%E8%A8%98/%E7%AC%AC099%E5%9B%9E</x:v>
      </x:c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93" t="n">
        <x:v>19</x:v>
      </x:c>
      <x:c r="B20" s="193" t="str">
        <x:v>難活人參</x:v>
      </x:c>
      <x:c r="C20" s="193" t="str">
        <x:v>难活人参</x:v>
      </x:c>
      <x:c r="D20" s="193" t="str">
        <x:v>第26回</x:v>
      </x:c>
      <x:c r="E20" s="193" t="str">
        <x:v>初期磨合与团队信任</x:v>
      </x:c>
      <x:c r="F20" s="193" t="str">
        <x:v>修行/归真</x:v>
      </x:c>
      <x:c r="G20" s="193" t="str">
        <x:v>唐僧师徒、护法诸神</x:v>
      </x:c>
      <x:c r="H20" s="193" t="str">
        <x:v>以第99回难簿为主证据，再与对应回目原文逐条复核。</x:v>
      </x:c>
      <x:c r="I20" s="193" t="str">
        <x:v>可从“难活人参”切入，写成“难—心性—组织/制度—人生启示”的短文。</x:v>
      </x:c>
      <x:c r="J20" s="193" t="str">
        <x:v>第99回难簿明列</x:v>
      </x:c>
      <x:c r="K20" s="193" t="str">
        <x:v>一级证据：维基文库第99回；二级证据：对应回目待逐条补摘</x:v>
      </x:c>
      <x:c r="L20" s="193" t="str">
        <x:v>已据第99回难簿校核</x:v>
      </x:c>
      <x:c r="M20" s="193" t="str">
        <x:v>https://zh.wikisource.org/wiki/%E8%A5%BF%E9%81%8A%E8%A8%98/%E7%AC%AC099%E5%9B%9E</x:v>
      </x:c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93" t="n">
        <x:v>20</x:v>
      </x:c>
      <x:c r="B21" s="193" t="str">
        <x:v>貶退心猿</x:v>
      </x:c>
      <x:c r="C21" s="193" t="str">
        <x:v>贬退心猿</x:v>
      </x:c>
      <x:c r="D21" s="193" t="str">
        <x:v>第27回</x:v>
      </x:c>
      <x:c r="E21" s="193" t="str">
        <x:v>初期磨合与团队信任</x:v>
      </x:c>
      <x:c r="F21" s="193" t="str">
        <x:v>团队/心性</x:v>
      </x:c>
      <x:c r="G21" s="193" t="str">
        <x:v>唐僧师徒、护法诸神</x:v>
      </x:c>
      <x:c r="H21" s="193" t="str">
        <x:v>心性之难常表现为团队信任危机、二心分裂或专业判断被误读。</x:v>
      </x:c>
      <x:c r="I21" s="193" t="str">
        <x:v>可从“贬退心猿”切入，写成“难—心性—组织/制度—人生启示”的短文。</x:v>
      </x:c>
      <x:c r="J21" s="193" t="str">
        <x:v>第99回难簿明列</x:v>
      </x:c>
      <x:c r="K21" s="193" t="str">
        <x:v>一级证据：维基文库第99回；二级证据：对应回目待逐条补摘</x:v>
      </x:c>
      <x:c r="L21" s="193" t="str">
        <x:v>已据第99回难簿校核</x:v>
      </x:c>
      <x:c r="M21" s="193" t="str">
        <x:v>https://zh.wikisource.org/wiki/%E8%A5%BF%E9%81%8A%E8%A8%98/%E7%AC%AC099%E5%9B%9E</x:v>
      </x:c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93" t="n">
        <x:v>21</x:v>
      </x:c>
      <x:c r="B22" s="193" t="str">
        <x:v>黑松林失散</x:v>
      </x:c>
      <x:c r="C22" s="193" t="str">
        <x:v>黑松林失散</x:v>
      </x:c>
      <x:c r="D22" s="193" t="str">
        <x:v>第28回</x:v>
      </x:c>
      <x:c r="E22" s="193" t="str">
        <x:v>初期磨合与团队信任</x:v>
      </x:c>
      <x:c r="F22" s="193" t="str">
        <x:v>修行/归真</x:v>
      </x:c>
      <x:c r="G22" s="193" t="str">
        <x:v>唐僧师徒、护法诸神</x:v>
      </x:c>
      <x:c r="H22" s="193" t="str">
        <x:v>以第99回难簿为主证据，再与对应回目原文逐条复核。</x:v>
      </x:c>
      <x:c r="I22" s="193" t="str">
        <x:v>可从“黑松林失散”切入，写成“难—心性—组织/制度—人生启示”的短文。</x:v>
      </x:c>
      <x:c r="J22" s="193" t="str">
        <x:v>第99回难簿明列</x:v>
      </x:c>
      <x:c r="K22" s="193" t="str">
        <x:v>一级证据：维基文库第99回；二级证据：对应回目待逐条补摘</x:v>
      </x:c>
      <x:c r="L22" s="193" t="str">
        <x:v>已据第99回难簿校核</x:v>
      </x:c>
      <x:c r="M22" s="193" t="str">
        <x:v>https://zh.wikisource.org/wiki/%E8%A5%BF%E9%81%8A%E8%A8%98/%E7%AC%AC099%E5%9B%9E</x:v>
      </x:c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93" t="n">
        <x:v>22</x:v>
      </x:c>
      <x:c r="B23" s="193" t="str">
        <x:v>寶象國捎書</x:v>
      </x:c>
      <x:c r="C23" s="193" t="str">
        <x:v>宝象国捎书</x:v>
      </x:c>
      <x:c r="D23" s="193" t="str">
        <x:v>第29回</x:v>
      </x:c>
      <x:c r="E23" s="193" t="str">
        <x:v>初期磨合与团队信任</x:v>
      </x:c>
      <x:c r="F23" s="193" t="str">
        <x:v>国家/制度/王权</x:v>
      </x:c>
      <x:c r="G23" s="193" t="str">
        <x:v>唐僧师徒、护法诸神</x:v>
      </x:c>
      <x:c r="H23" s="193" t="str">
        <x:v>国家、宫廷、制度系统本身也会成为取经障碍。</x:v>
      </x:c>
      <x:c r="I23" s="193" t="str">
        <x:v>可从“宝象国捎书”切入，写成“难—心性—组织/制度—人生启示”的短文。</x:v>
      </x:c>
      <x:c r="J23" s="193" t="str">
        <x:v>第99回难簿明列</x:v>
      </x:c>
      <x:c r="K23" s="193" t="str">
        <x:v>一级证据：维基文库第99回；二级证据：对应回目待逐条补摘</x:v>
      </x:c>
      <x:c r="L23" s="193" t="str">
        <x:v>已据第99回难簿校核</x:v>
      </x:c>
      <x:c r="M23" s="193" t="str">
        <x:v>https://zh.wikisource.org/wiki/%E8%A5%BF%E9%81%8A%E8%A8%98/%E7%AC%AC099%E5%9B%9E</x:v>
      </x:c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93" t="n">
        <x:v>23</x:v>
      </x:c>
      <x:c r="B24" s="193" t="str">
        <x:v>金鑾殿變虎</x:v>
      </x:c>
      <x:c r="C24" s="193" t="str">
        <x:v>金銮殿变虎</x:v>
      </x:c>
      <x:c r="D24" s="193" t="str">
        <x:v>第30回</x:v>
      </x:c>
      <x:c r="E24" s="193" t="str">
        <x:v>初期磨合与团队信任</x:v>
      </x:c>
      <x:c r="F24" s="193" t="str">
        <x:v>环境/天灾/路阻</x:v>
      </x:c>
      <x:c r="G24" s="193" t="str">
        <x:v>唐僧师徒、护法诸神</x:v>
      </x:c>
      <x:c r="H24" s="193" t="str">
        <x:v>国家、宫廷、制度系统本身也会成为取经障碍。</x:v>
      </x:c>
      <x:c r="I24" s="193" t="str">
        <x:v>可从“金銮殿变虎”切入，写成“难—心性—组织/制度—人生启示”的短文。</x:v>
      </x:c>
      <x:c r="J24" s="193" t="str">
        <x:v>第99回难簿明列</x:v>
      </x:c>
      <x:c r="K24" s="193" t="str">
        <x:v>一级证据：维基文库第99回；二级证据：对应回目待逐条补摘</x:v>
      </x:c>
      <x:c r="L24" s="193" t="str">
        <x:v>已据第99回难簿校核</x:v>
      </x:c>
      <x:c r="M24" s="193" t="str">
        <x:v>https://zh.wikisource.org/wiki/%E8%A5%BF%E9%81%8A%E8%A8%98/%E7%AC%AC099%E5%9B%9E</x:v>
      </x:c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93" t="n">
        <x:v>24</x:v>
      </x:c>
      <x:c r="B25" s="193" t="str">
        <x:v>平頂山逢魔</x:v>
      </x:c>
      <x:c r="C25" s="193" t="str">
        <x:v>平顶山逢魔</x:v>
      </x:c>
      <x:c r="D25" s="193" t="str">
        <x:v>第32—33回</x:v>
      </x:c>
      <x:c r="E25" s="193" t="str">
        <x:v>初期磨合与团队信任</x:v>
      </x:c>
      <x:c r="F25" s="193" t="str">
        <x:v>妖怪/后台</x:v>
      </x:c>
      <x:c r="G25" s="193" t="str">
        <x:v>金角、银角</x:v>
      </x:c>
      <x:c r="H25" s="193" t="str">
        <x:v>以第99回难簿为主证据，再与对应回目原文逐条复核。</x:v>
      </x:c>
      <x:c r="I25" s="193" t="str">
        <x:v>可从“平顶山逢魔”切入，写成“难—心性—组织/制度—人生启示”的短文。</x:v>
      </x:c>
      <x:c r="J25" s="193" t="str">
        <x:v>第99回难簿明列</x:v>
      </x:c>
      <x:c r="K25" s="193" t="str">
        <x:v>一级证据：维基文库第99回；二级证据：对应回目待逐条补摘</x:v>
      </x:c>
      <x:c r="L25" s="193" t="str">
        <x:v>已据第99回难簿校核</x:v>
      </x:c>
      <x:c r="M25" s="193" t="str">
        <x:v>https://zh.wikisource.org/wiki/%E8%A5%BF%E9%81%8A%E8%A8%98/%E7%AC%AC099%E5%9B%9E</x:v>
      </x:c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93" t="n">
        <x:v>25</x:v>
      </x:c>
      <x:c r="B26" s="193" t="str">
        <x:v>蓮花洞高懸</x:v>
      </x:c>
      <x:c r="C26" s="193" t="str">
        <x:v>莲花洞高悬</x:v>
      </x:c>
      <x:c r="D26" s="193" t="str">
        <x:v>第34—35回</x:v>
      </x:c>
      <x:c r="E26" s="193" t="str">
        <x:v>初期磨合与团队信任</x:v>
      </x:c>
      <x:c r="F26" s="193" t="str">
        <x:v>妖怪/后台</x:v>
      </x:c>
      <x:c r="G26" s="193" t="str">
        <x:v>金角、银角、法宝系统</x:v>
      </x:c>
      <x:c r="H26" s="193" t="str">
        <x:v>以第99回难簿为主证据，再与对应回目原文逐条复核。</x:v>
      </x:c>
      <x:c r="I26" s="193" t="str">
        <x:v>可从“莲花洞高悬”切入，写成“难—心性—组织/制度—人生启示”的短文。</x:v>
      </x:c>
      <x:c r="J26" s="193" t="str">
        <x:v>第99回难簿明列</x:v>
      </x:c>
      <x:c r="K26" s="193" t="str">
        <x:v>一级证据：维基文库第99回；二级证据：对应回目待逐条补摘</x:v>
      </x:c>
      <x:c r="L26" s="193" t="str">
        <x:v>已据第99回难簿校核</x:v>
      </x:c>
      <x:c r="M26" s="193" t="str">
        <x:v>https://zh.wikisource.org/wiki/%E8%A5%BF%E9%81%8A%E8%A8%98/%E7%AC%AC099%E5%9B%9E</x:v>
      </x:c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93" t="n">
        <x:v>26</x:v>
      </x:c>
      <x:c r="B27" s="193" t="str">
        <x:v>烏雞國救主</x:v>
      </x:c>
      <x:c r="C27" s="193" t="str">
        <x:v>乌鸡国救主</x:v>
      </x:c>
      <x:c r="D27" s="193" t="str">
        <x:v>第36—39回</x:v>
      </x:c>
      <x:c r="E27" s="193" t="str">
        <x:v>初期磨合与团队信任</x:v>
      </x:c>
      <x:c r="F27" s="193" t="str">
        <x:v>国家/制度/王权</x:v>
      </x:c>
      <x:c r="G27" s="193" t="str">
        <x:v>乌鸡国王、青毛狮子、文殊</x:v>
      </x:c>
      <x:c r="H27" s="193" t="str">
        <x:v>国家、宫廷、制度系统本身也会成为取经障碍。</x:v>
      </x:c>
      <x:c r="I27" s="193" t="str">
        <x:v>可从“乌鸡国救主”切入，写成“难—心性—组织/制度—人生启示”的短文。</x:v>
      </x:c>
      <x:c r="J27" s="193" t="str">
        <x:v>第99回难簿明列</x:v>
      </x:c>
      <x:c r="K27" s="193" t="str">
        <x:v>一级证据：维基文库第99回；二级证据：对应回目待逐条补摘</x:v>
      </x:c>
      <x:c r="L27" s="193" t="str">
        <x:v>已据第99回难簿校核</x:v>
      </x:c>
      <x:c r="M27" s="193" t="str">
        <x:v>https://zh.wikisource.org/wiki/%E8%A5%BF%E9%81%8A%E8%A8%98/%E7%AC%AC099%E5%9B%9E</x:v>
      </x:c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93" t="n">
        <x:v>27</x:v>
      </x:c>
      <x:c r="B28" s="193" t="str">
        <x:v>被魔化身</x:v>
      </x:c>
      <x:c r="C28" s="193" t="str">
        <x:v>被魔化身</x:v>
      </x:c>
      <x:c r="D28" s="193" t="str">
        <x:v>第39回</x:v>
      </x:c>
      <x:c r="E28" s="193" t="str">
        <x:v>初期磨合与团队信任</x:v>
      </x:c>
      <x:c r="F28" s="193" t="str">
        <x:v>妖怪/后台</x:v>
      </x:c>
      <x:c r="G28" s="193" t="str">
        <x:v>唐僧师徒、护法诸神</x:v>
      </x:c>
      <x:c r="H28" s="193" t="str">
        <x:v>以第99回难簿为主证据，再与对应回目原文逐条复核。</x:v>
      </x:c>
      <x:c r="I28" s="193" t="str">
        <x:v>可从“被魔化身”切入，写成“难—心性—组织/制度—人生启示”的短文。</x:v>
      </x:c>
      <x:c r="J28" s="193" t="str">
        <x:v>第99回难簿明列</x:v>
      </x:c>
      <x:c r="K28" s="193" t="str">
        <x:v>一级证据：维基文库第99回；二级证据：对应回目待逐条补摘</x:v>
      </x:c>
      <x:c r="L28" s="193" t="str">
        <x:v>已据第99回难簿校核</x:v>
      </x:c>
      <x:c r="M28" s="193" t="str">
        <x:v>https://zh.wikisource.org/wiki/%E8%A5%BF%E9%81%8A%E8%A8%98/%E7%AC%AC099%E5%9B%9E</x:v>
      </x:c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93" t="n">
        <x:v>28</x:v>
      </x:c>
      <x:c r="B29" s="193" t="str">
        <x:v>號山逢怪</x:v>
      </x:c>
      <x:c r="C29" s="193" t="str">
        <x:v>号山逢怪</x:v>
      </x:c>
      <x:c r="D29" s="193" t="str">
        <x:v>第40回</x:v>
      </x:c>
      <x:c r="E29" s="193" t="str">
        <x:v>初期磨合与团队信任</x:v>
      </x:c>
      <x:c r="F29" s="193" t="str">
        <x:v>妖怪/后台</x:v>
      </x:c>
      <x:c r="G29" s="193" t="str">
        <x:v>红孩儿、牛魔王家族</x:v>
      </x:c>
      <x:c r="H29" s="193" t="str">
        <x:v>以第99回难簿为主证据，再与对应回目原文逐条复核。</x:v>
      </x:c>
      <x:c r="I29" s="193" t="str">
        <x:v>可从“号山逢怪”切入，写成“难—心性—组织/制度—人生启示”的短文。</x:v>
      </x:c>
      <x:c r="J29" s="193" t="str">
        <x:v>第99回难簿明列</x:v>
      </x:c>
      <x:c r="K29" s="193" t="str">
        <x:v>一级证据：维基文库第99回；二级证据：对应回目待逐条补摘</x:v>
      </x:c>
      <x:c r="L29" s="193" t="str">
        <x:v>已据第99回难簿校核</x:v>
      </x:c>
      <x:c r="M29" s="193" t="str">
        <x:v>https://zh.wikisource.org/wiki/%E8%A5%BF%E9%81%8A%E8%A8%98/%E7%AC%AC099%E5%9B%9E</x:v>
      </x:c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93" t="n">
        <x:v>29</x:v>
      </x:c>
      <x:c r="B30" s="193" t="str">
        <x:v>風攝聖僧</x:v>
      </x:c>
      <x:c r="C30" s="193" t="str">
        <x:v>风摄圣僧</x:v>
      </x:c>
      <x:c r="D30" s="193" t="str">
        <x:v>第41回</x:v>
      </x:c>
      <x:c r="E30" s="193" t="str">
        <x:v>初期磨合与团队信任</x:v>
      </x:c>
      <x:c r="F30" s="193" t="str">
        <x:v>修行/归真</x:v>
      </x:c>
      <x:c r="G30" s="193" t="str">
        <x:v>唐僧师徒、护法诸神</x:v>
      </x:c>
      <x:c r="H30" s="193" t="str">
        <x:v>以第99回难簿为主证据，再与对应回目原文逐条复核。</x:v>
      </x:c>
      <x:c r="I30" s="193" t="str">
        <x:v>可从“风摄圣僧”切入，写成“难—心性—组织/制度—人生启示”的短文。</x:v>
      </x:c>
      <x:c r="J30" s="193" t="str">
        <x:v>第99回难簿明列</x:v>
      </x:c>
      <x:c r="K30" s="193" t="str">
        <x:v>一级证据：维基文库第99回；二级证据：对应回目待逐条补摘</x:v>
      </x:c>
      <x:c r="L30" s="193" t="str">
        <x:v>已据第99回难簿校核</x:v>
      </x:c>
      <x:c r="M30" s="193" t="str">
        <x:v>https://zh.wikisource.org/wiki/%E8%A5%BF%E9%81%8A%E8%A8%98/%E7%AC%AC099%E5%9B%9E</x:v>
      </x:c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93" t="n">
        <x:v>30</x:v>
      </x:c>
      <x:c r="B31" s="193" t="str">
        <x:v>心猿遭害</x:v>
      </x:c>
      <x:c r="C31" s="193" t="str">
        <x:v>心猿遭害</x:v>
      </x:c>
      <x:c r="D31" s="193" t="str">
        <x:v>第41回</x:v>
      </x:c>
      <x:c r="E31" s="193" t="str">
        <x:v>初期磨合与团队信任</x:v>
      </x:c>
      <x:c r="F31" s="193" t="str">
        <x:v>团队/心性</x:v>
      </x:c>
      <x:c r="G31" s="193" t="str">
        <x:v>唐僧师徒、护法诸神</x:v>
      </x:c>
      <x:c r="H31" s="193" t="str">
        <x:v>心性之难常表现为团队信任危机、二心分裂或专业判断被误读。</x:v>
      </x:c>
      <x:c r="I31" s="193" t="str">
        <x:v>可从“心猿遭害”切入，写成“难—心性—组织/制度—人生启示”的短文。</x:v>
      </x:c>
      <x:c r="J31" s="193" t="str">
        <x:v>第99回难簿明列</x:v>
      </x:c>
      <x:c r="K31" s="193" t="str">
        <x:v>一级证据：维基文库第99回；二级证据：对应回目待逐条补摘</x:v>
      </x:c>
      <x:c r="L31" s="193" t="str">
        <x:v>已据第99回难簿校核</x:v>
      </x:c>
      <x:c r="M31" s="193" t="str">
        <x:v>https://zh.wikisource.org/wiki/%E8%A5%BF%E9%81%8A%E8%A8%98/%E7%AC%AC099%E5%9B%9E</x:v>
      </x:c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93" t="n">
        <x:v>31</x:v>
      </x:c>
      <x:c r="B32" s="193" t="str">
        <x:v>請聖降妖</x:v>
      </x:c>
      <x:c r="C32" s="193" t="str">
        <x:v>请圣降妖</x:v>
      </x:c>
      <x:c r="D32" s="193" t="str">
        <x:v>第42回</x:v>
      </x:c>
      <x:c r="E32" s="193" t="str">
        <x:v>初期磨合与团队信任</x:v>
      </x:c>
      <x:c r="F32" s="193" t="str">
        <x:v>假权威/最高救援</x:v>
      </x:c>
      <x:c r="G32" s="193" t="str">
        <x:v>唐僧师徒、护法诸神</x:v>
      </x:c>
      <x:c r="H32" s="193" t="str">
        <x:v>以第99回难簿为主证据，再与对应回目原文逐条复核。</x:v>
      </x:c>
      <x:c r="I32" s="193" t="str">
        <x:v>可从“请圣降妖”切入，写成“难—心性—组织/制度—人生启示”的短文。</x:v>
      </x:c>
      <x:c r="J32" s="193" t="str">
        <x:v>第99回难簿明列</x:v>
      </x:c>
      <x:c r="K32" s="193" t="str">
        <x:v>一级证据：维基文库第99回；二级证据：对应回目待逐条补摘</x:v>
      </x:c>
      <x:c r="L32" s="193" t="str">
        <x:v>已据第99回难簿校核</x:v>
      </x:c>
      <x:c r="M32" s="193" t="str">
        <x:v>https://zh.wikisource.org/wiki/%E8%A5%BF%E9%81%8A%E8%A8%98/%E7%AC%AC099%E5%9B%9E</x:v>
      </x:c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93" t="n">
        <x:v>32</x:v>
      </x:c>
      <x:c r="B33" s="193" t="str">
        <x:v>黑河沉沒</x:v>
      </x:c>
      <x:c r="C33" s="193" t="str">
        <x:v>黑河沉没</x:v>
      </x:c>
      <x:c r="D33" s="193" t="str">
        <x:v>第43回</x:v>
      </x:c>
      <x:c r="E33" s="193" t="str">
        <x:v>法宝后台与二心欲望</x:v>
      </x:c>
      <x:c r="F33" s="193" t="str">
        <x:v>修行/归真</x:v>
      </x:c>
      <x:c r="G33" s="193" t="str">
        <x:v>鼍龙、西海龙王</x:v>
      </x:c>
      <x:c r="H33" s="193" t="str">
        <x:v>以第99回难簿为主证据，再与对应回目原文逐条复核。</x:v>
      </x:c>
      <x:c r="I33" s="193" t="str">
        <x:v>可从“黑河沉没”切入，写成“难—心性—组织/制度—人生启示”的短文。</x:v>
      </x:c>
      <x:c r="J33" s="193" t="str">
        <x:v>第99回难簿明列</x:v>
      </x:c>
      <x:c r="K33" s="193" t="str">
        <x:v>一级证据：维基文库第99回；二级证据：对应回目待逐条补摘</x:v>
      </x:c>
      <x:c r="L33" s="193" t="str">
        <x:v>已据第99回难簿校核</x:v>
      </x:c>
      <x:c r="M33" s="193" t="str">
        <x:v>https://zh.wikisource.org/wiki/%E8%A5%BF%E9%81%8A%E8%A8%98/%E7%AC%AC099%E5%9B%9E</x:v>
      </x:c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93" t="n">
        <x:v>33</x:v>
      </x:c>
      <x:c r="B34" s="193" t="str">
        <x:v>搬運車遲</x:v>
      </x:c>
      <x:c r="C34" s="193" t="str">
        <x:v>搬运车迟</x:v>
      </x:c>
      <x:c r="D34" s="193" t="str">
        <x:v>第44回</x:v>
      </x:c>
      <x:c r="E34" s="193" t="str">
        <x:v>法宝后台与二心欲望</x:v>
      </x:c>
      <x:c r="F34" s="193" t="str">
        <x:v>修行/归真</x:v>
      </x:c>
      <x:c r="G34" s="193" t="str">
        <x:v>虎力、鹿力、羊力大仙</x:v>
      </x:c>
      <x:c r="H34" s="193" t="str">
        <x:v>以第99回难簿为主证据，再与对应回目原文逐条复核。</x:v>
      </x:c>
      <x:c r="I34" s="193" t="str">
        <x:v>可从“搬运车迟”切入，写成“难—心性—组织/制度—人生启示”的短文。</x:v>
      </x:c>
      <x:c r="J34" s="193" t="str">
        <x:v>第99回难簿明列</x:v>
      </x:c>
      <x:c r="K34" s="193" t="str">
        <x:v>一级证据：维基文库第99回；二级证据：对应回目待逐条补摘</x:v>
      </x:c>
      <x:c r="L34" s="193" t="str">
        <x:v>已据第99回难簿校核</x:v>
      </x:c>
      <x:c r="M34" s="193" t="str">
        <x:v>https://zh.wikisource.org/wiki/%E8%A5%BF%E9%81%8A%E8%A8%98/%E7%AC%AC099%E5%9B%9E</x:v>
      </x:c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93" t="n">
        <x:v>34</x:v>
      </x:c>
      <x:c r="B35" s="193" t="str">
        <x:v>大賭輸贏</x:v>
      </x:c>
      <x:c r="C35" s="193" t="str">
        <x:v>大赌输赢</x:v>
      </x:c>
      <x:c r="D35" s="193" t="str">
        <x:v>第45回</x:v>
      </x:c>
      <x:c r="E35" s="193" t="str">
        <x:v>法宝后台与二心欲望</x:v>
      </x:c>
      <x:c r="F35" s="193" t="str">
        <x:v>修行/归真</x:v>
      </x:c>
      <x:c r="G35" s="193" t="str">
        <x:v>唐僧师徒、护法诸神</x:v>
      </x:c>
      <x:c r="H35" s="193" t="str">
        <x:v>以第99回难簿为主证据，再与对应回目原文逐条复核。</x:v>
      </x:c>
      <x:c r="I35" s="193" t="str">
        <x:v>可从“大赌输赢”切入，写成“难—心性—组织/制度—人生启示”的短文。</x:v>
      </x:c>
      <x:c r="J35" s="193" t="str">
        <x:v>第99回难簿明列</x:v>
      </x:c>
      <x:c r="K35" s="193" t="str">
        <x:v>一级证据：维基文库第99回；二级证据：对应回目待逐条补摘</x:v>
      </x:c>
      <x:c r="L35" s="193" t="str">
        <x:v>已据第99回难簿校核</x:v>
      </x:c>
      <x:c r="M35" s="193" t="str">
        <x:v>https://zh.wikisource.org/wiki/%E8%A5%BF%E9%81%8A%E8%A8%98/%E7%AC%AC099%E5%9B%9E</x:v>
      </x:c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93" t="n">
        <x:v>35</x:v>
      </x:c>
      <x:c r="B36" s="193" t="str">
        <x:v>祛道興僧</x:v>
      </x:c>
      <x:c r="C36" s="193" t="str">
        <x:v>祛道兴僧</x:v>
      </x:c>
      <x:c r="D36" s="193" t="str">
        <x:v>第46回</x:v>
      </x:c>
      <x:c r="E36" s="193" t="str">
        <x:v>法宝后台与二心欲望</x:v>
      </x:c>
      <x:c r="F36" s="193" t="str">
        <x:v>国家/制度/王权</x:v>
      </x:c>
      <x:c r="G36" s="193" t="str">
        <x:v>唐僧师徒、护法诸神</x:v>
      </x:c>
      <x:c r="H36" s="193" t="str">
        <x:v>以第99回难簿为主证据，再与对应回目原文逐条复核。</x:v>
      </x:c>
      <x:c r="I36" s="193" t="str">
        <x:v>可从“祛道兴僧”切入，写成“难—心性—组织/制度—人生启示”的短文。</x:v>
      </x:c>
      <x:c r="J36" s="193" t="str">
        <x:v>第99回难簿明列</x:v>
      </x:c>
      <x:c r="K36" s="193" t="str">
        <x:v>一级证据：维基文库第99回；二级证据：对应回目待逐条补摘</x:v>
      </x:c>
      <x:c r="L36" s="193" t="str">
        <x:v>已据第99回难簿校核</x:v>
      </x:c>
      <x:c r="M36" s="193" t="str">
        <x:v>https://zh.wikisource.org/wiki/%E8%A5%BF%E9%81%8A%E8%A8%98/%E7%AC%AC099%E5%9B%9E</x:v>
      </x:c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93" t="n">
        <x:v>36</x:v>
      </x:c>
      <x:c r="B37" s="193" t="str">
        <x:v>路逢大水</x:v>
      </x:c>
      <x:c r="C37" s="193" t="str">
        <x:v>路逢大水</x:v>
      </x:c>
      <x:c r="D37" s="193" t="str">
        <x:v>第47回</x:v>
      </x:c>
      <x:c r="E37" s="193" t="str">
        <x:v>法宝后台与二心欲望</x:v>
      </x:c>
      <x:c r="F37" s="193" t="str">
        <x:v>环境/天灾/路阻</x:v>
      </x:c>
      <x:c r="G37" s="193" t="str">
        <x:v>唐僧师徒、护法诸神</x:v>
      </x:c>
      <x:c r="H37" s="193" t="str">
        <x:v>以第99回难簿为主证据，再与对应回目原文逐条复核。</x:v>
      </x:c>
      <x:c r="I37" s="193" t="str">
        <x:v>可从“路逢大水”切入，写成“难—心性—组织/制度—人生启示”的短文。</x:v>
      </x:c>
      <x:c r="J37" s="193" t="str">
        <x:v>第99回难簿明列</x:v>
      </x:c>
      <x:c r="K37" s="193" t="str">
        <x:v>一级证据：维基文库第99回；二级证据：对应回目待逐条补摘</x:v>
      </x:c>
      <x:c r="L37" s="193" t="str">
        <x:v>已据第99回难簿校核</x:v>
      </x:c>
      <x:c r="M37" s="193" t="str">
        <x:v>https://zh.wikisource.org/wiki/%E8%A5%BF%E9%81%8A%E8%A8%98/%E7%AC%AC099%E5%9B%9E</x:v>
      </x:c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93" t="n">
        <x:v>37</x:v>
      </x:c>
      <x:c r="B38" s="193" t="str">
        <x:v>身落天河</x:v>
      </x:c>
      <x:c r="C38" s="193" t="str">
        <x:v>身落天河</x:v>
      </x:c>
      <x:c r="D38" s="193" t="str">
        <x:v>第48回</x:v>
      </x:c>
      <x:c r="E38" s="193" t="str">
        <x:v>法宝后台与二心欲望</x:v>
      </x:c>
      <x:c r="F38" s="193" t="str">
        <x:v>环境/天灾/路阻</x:v>
      </x:c>
      <x:c r="G38" s="193" t="str">
        <x:v>唐僧师徒、护法诸神</x:v>
      </x:c>
      <x:c r="H38" s="193" t="str">
        <x:v>以第99回难簿为主证据，再与对应回目原文逐条复核。</x:v>
      </x:c>
      <x:c r="I38" s="193" t="str">
        <x:v>可从“身落天河”切入，写成“难—心性—组织/制度—人生启示”的短文。</x:v>
      </x:c>
      <x:c r="J38" s="193" t="str">
        <x:v>第99回难簿明列</x:v>
      </x:c>
      <x:c r="K38" s="193" t="str">
        <x:v>一级证据：维基文库第99回；二级证据：对应回目待逐条补摘</x:v>
      </x:c>
      <x:c r="L38" s="193" t="str">
        <x:v>已据第99回难簿校核</x:v>
      </x:c>
      <x:c r="M38" s="193" t="str">
        <x:v>https://zh.wikisource.org/wiki/%E8%A5%BF%E9%81%8A%E8%A8%98/%E7%AC%AC099%E5%9B%9E</x:v>
      </x:c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93" t="n">
        <x:v>38</x:v>
      </x:c>
      <x:c r="B39" s="193" t="str">
        <x:v>魚籃現身</x:v>
      </x:c>
      <x:c r="C39" s="193" t="str">
        <x:v>鱼篮现身</x:v>
      </x:c>
      <x:c r="D39" s="193" t="str">
        <x:v>第49回</x:v>
      </x:c>
      <x:c r="E39" s="193" t="str">
        <x:v>法宝后台与二心欲望</x:v>
      </x:c>
      <x:c r="F39" s="193" t="str">
        <x:v>修行/归真</x:v>
      </x:c>
      <x:c r="G39" s="193" t="str">
        <x:v>唐僧师徒、护法诸神</x:v>
      </x:c>
      <x:c r="H39" s="193" t="str">
        <x:v>以第99回难簿为主证据，再与对应回目原文逐条复核。</x:v>
      </x:c>
      <x:c r="I39" s="193" t="str">
        <x:v>可从“鱼篮现身”切入，写成“难—心性—组织/制度—人生启示”的短文。</x:v>
      </x:c>
      <x:c r="J39" s="193" t="str">
        <x:v>第99回难簿明列</x:v>
      </x:c>
      <x:c r="K39" s="193" t="str">
        <x:v>一级证据：维基文库第99回；二级证据：对应回目待逐条补摘</x:v>
      </x:c>
      <x:c r="L39" s="193" t="str">
        <x:v>已据第99回难簿校核</x:v>
      </x:c>
      <x:c r="M39" s="193" t="str">
        <x:v>https://zh.wikisource.org/wiki/%E8%A5%BF%E9%81%8A%E8%A8%98/%E7%AC%AC099%E5%9B%9E</x:v>
      </x:c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93" t="n">
        <x:v>39</x:v>
      </x:c>
      <x:c r="B40" s="193" t="str">
        <x:v>金兜山遇怪</x:v>
      </x:c>
      <x:c r="C40" s="193" t="str">
        <x:v>金兜山遇怪</x:v>
      </x:c>
      <x:c r="D40" s="193" t="str">
        <x:v>第50回</x:v>
      </x:c>
      <x:c r="E40" s="193" t="str">
        <x:v>法宝后台与二心欲望</x:v>
      </x:c>
      <x:c r="F40" s="193" t="str">
        <x:v>妖怪/后台</x:v>
      </x:c>
      <x:c r="G40" s="193" t="str">
        <x:v>唐僧师徒、护法诸神</x:v>
      </x:c>
      <x:c r="H40" s="193" t="str">
        <x:v>以第99回难簿为主证据，再与对应回目原文逐条复核。</x:v>
      </x:c>
      <x:c r="I40" s="193" t="str">
        <x:v>可从“金兜山遇怪”切入，写成“难—心性—组织/制度—人生启示”的短文。</x:v>
      </x:c>
      <x:c r="J40" s="193" t="str">
        <x:v>第99回难簿明列</x:v>
      </x:c>
      <x:c r="K40" s="193" t="str">
        <x:v>一级证据：维基文库第99回；二级证据：对应回目待逐条补摘</x:v>
      </x:c>
      <x:c r="L40" s="193" t="str">
        <x:v>已据第99回难簿校核</x:v>
      </x:c>
      <x:c r="M40" s="193" t="str">
        <x:v>https://zh.wikisource.org/wiki/%E8%A5%BF%E9%81%8A%E8%A8%98/%E7%AC%AC099%E5%9B%9E</x:v>
      </x:c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93" t="n">
        <x:v>40</x:v>
      </x:c>
      <x:c r="B41" s="193" t="str">
        <x:v>普天神難伏</x:v>
      </x:c>
      <x:c r="C41" s="193" t="str">
        <x:v>普天神难伏</x:v>
      </x:c>
      <x:c r="D41" s="193" t="str">
        <x:v>第51回</x:v>
      </x:c>
      <x:c r="E41" s="193" t="str">
        <x:v>法宝后台与二心欲望</x:v>
      </x:c>
      <x:c r="F41" s="193" t="str">
        <x:v>修行/归真</x:v>
      </x:c>
      <x:c r="G41" s="193" t="str">
        <x:v>唐僧师徒、护法诸神</x:v>
      </x:c>
      <x:c r="H41" s="193" t="str">
        <x:v>以第99回难簿为主证据，再与对应回目原文逐条复核。</x:v>
      </x:c>
      <x:c r="I41" s="193" t="str">
        <x:v>可从“普天神难伏”切入，写成“难—心性—组织/制度—人生启示”的短文。</x:v>
      </x:c>
      <x:c r="J41" s="193" t="str">
        <x:v>第99回难簿明列</x:v>
      </x:c>
      <x:c r="K41" s="193" t="str">
        <x:v>一级证据：维基文库第99回；二级证据：对应回目待逐条补摘</x:v>
      </x:c>
      <x:c r="L41" s="193" t="str">
        <x:v>已据第99回难簿校核</x:v>
      </x:c>
      <x:c r="M41" s="193" t="str">
        <x:v>https://zh.wikisource.org/wiki/%E8%A5%BF%E9%81%8A%E8%A8%98/%E7%AC%AC099%E5%9B%9E</x:v>
      </x:c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93" t="n">
        <x:v>41</x:v>
      </x:c>
      <x:c r="B42" s="193" t="str">
        <x:v>問佛根源</x:v>
      </x:c>
      <x:c r="C42" s="193" t="str">
        <x:v>问佛根源</x:v>
      </x:c>
      <x:c r="D42" s="193" t="str">
        <x:v>第52回</x:v>
      </x:c>
      <x:c r="E42" s="193" t="str">
        <x:v>法宝后台与二心欲望</x:v>
      </x:c>
      <x:c r="F42" s="193" t="str">
        <x:v>假权威/最高救援</x:v>
      </x:c>
      <x:c r="G42" s="193" t="str">
        <x:v>唐僧师徒、护法诸神</x:v>
      </x:c>
      <x:c r="H42" s="193" t="str">
        <x:v>以第99回难簿为主证据，再与对应回目原文逐条复核。</x:v>
      </x:c>
      <x:c r="I42" s="193" t="str">
        <x:v>可从“问佛根源”切入，写成“难—心性—组织/制度—人生启示”的短文。</x:v>
      </x:c>
      <x:c r="J42" s="193" t="str">
        <x:v>第99回难簿明列</x:v>
      </x:c>
      <x:c r="K42" s="193" t="str">
        <x:v>一级证据：维基文库第99回；二级证据：对应回目待逐条补摘</x:v>
      </x:c>
      <x:c r="L42" s="193" t="str">
        <x:v>已据第99回难簿校核</x:v>
      </x:c>
      <x:c r="M42" s="193" t="str">
        <x:v>https://zh.wikisource.org/wiki/%E8%A5%BF%E9%81%8A%E8%A8%98/%E7%AC%AC099%E5%9B%9E</x:v>
      </x:c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93" t="n">
        <x:v>42</x:v>
      </x:c>
      <x:c r="B43" s="193" t="str">
        <x:v>吃水遭毒</x:v>
      </x:c>
      <x:c r="C43" s="193" t="str">
        <x:v>吃水遭毒</x:v>
      </x:c>
      <x:c r="D43" s="193" t="str">
        <x:v>第53回</x:v>
      </x:c>
      <x:c r="E43" s="193" t="str">
        <x:v>法宝后台与二心欲望</x:v>
      </x:c>
      <x:c r="F43" s="193" t="str">
        <x:v>修行/归真</x:v>
      </x:c>
      <x:c r="G43" s="193" t="str">
        <x:v>唐僧师徒、护法诸神</x:v>
      </x:c>
      <x:c r="H43" s="193" t="str">
        <x:v>以第99回难簿为主证据，再与对应回目原文逐条复核。</x:v>
      </x:c>
      <x:c r="I43" s="193" t="str">
        <x:v>可从“吃水遭毒”切入，写成“难—心性—组织/制度—人生启示”的短文。</x:v>
      </x:c>
      <x:c r="J43" s="193" t="str">
        <x:v>第99回难簿明列</x:v>
      </x:c>
      <x:c r="K43" s="193" t="str">
        <x:v>一级证据：维基文库第99回；二级证据：对应回目待逐条补摘</x:v>
      </x:c>
      <x:c r="L43" s="193" t="str">
        <x:v>已据第99回难簿校核</x:v>
      </x:c>
      <x:c r="M43" s="193" t="str">
        <x:v>https://zh.wikisource.org/wiki/%E8%A5%BF%E9%81%8A%E8%A8%98/%E7%AC%AC099%E5%9B%9E</x:v>
      </x:c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93" t="n">
        <x:v>43</x:v>
      </x:c>
      <x:c r="B44" s="193" t="str">
        <x:v>西梁國留婚</x:v>
      </x:c>
      <x:c r="C44" s="193" t="str">
        <x:v>西梁国留婚</x:v>
      </x:c>
      <x:c r="D44" s="193" t="str">
        <x:v>第54回</x:v>
      </x:c>
      <x:c r="E44" s="193" t="str">
        <x:v>法宝后台与二心欲望</x:v>
      </x:c>
      <x:c r="F44" s="193" t="str">
        <x:v>国家/制度/王权</x:v>
      </x:c>
      <x:c r="G44" s="193" t="str">
        <x:v>女儿国王</x:v>
      </x:c>
      <x:c r="H44" s="193" t="str">
        <x:v>国家、宫廷、制度系统本身也会成为取经障碍。</x:v>
      </x:c>
      <x:c r="I44" s="193" t="str">
        <x:v>可从“西梁国留婚”切入，写成“难—心性—组织/制度—人生启示”的短文。</x:v>
      </x:c>
      <x:c r="J44" s="193" t="str">
        <x:v>第99回难簿明列</x:v>
      </x:c>
      <x:c r="K44" s="193" t="str">
        <x:v>一级证据：维基文库第99回；二级证据：对应回目待逐条补摘</x:v>
      </x:c>
      <x:c r="L44" s="193" t="str">
        <x:v>已据第99回难簿校核</x:v>
      </x:c>
      <x:c r="M44" s="193" t="str">
        <x:v>https://zh.wikisource.org/wiki/%E8%A5%BF%E9%81%8A%E8%A8%98/%E7%AC%AC099%E5%9B%9E</x:v>
      </x:c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93" t="n">
        <x:v>44</x:v>
      </x:c>
      <x:c r="B45" s="193" t="str">
        <x:v>琵琶洞受苦</x:v>
      </x:c>
      <x:c r="C45" s="193" t="str">
        <x:v>琵琶洞受苦</x:v>
      </x:c>
      <x:c r="D45" s="193" t="str">
        <x:v>第55回</x:v>
      </x:c>
      <x:c r="E45" s="193" t="str">
        <x:v>法宝后台与二心欲望</x:v>
      </x:c>
      <x:c r="F45" s="193" t="str">
        <x:v>欲望/身体</x:v>
      </x:c>
      <x:c r="G45" s="193" t="str">
        <x:v>蝎子精、昴日星官</x:v>
      </x:c>
      <x:c r="H45" s="193" t="str">
        <x:v>以第99回难簿为主证据，再与对应回目原文逐条复核。</x:v>
      </x:c>
      <x:c r="I45" s="193" t="str">
        <x:v>可从“琵琶洞受苦”切入，写成“难—心性—组织/制度—人生启示”的短文。</x:v>
      </x:c>
      <x:c r="J45" s="193" t="str">
        <x:v>第99回难簿明列</x:v>
      </x:c>
      <x:c r="K45" s="193" t="str">
        <x:v>一级证据：维基文库第99回；二级证据：对应回目待逐条补摘</x:v>
      </x:c>
      <x:c r="L45" s="193" t="str">
        <x:v>已据第99回难簿校核</x:v>
      </x:c>
      <x:c r="M45" s="193" t="str">
        <x:v>https://zh.wikisource.org/wiki/%E8%A5%BF%E9%81%8A%E8%A8%98/%E7%AC%AC099%E5%9B%9E</x:v>
      </x:c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93" t="n">
        <x:v>45</x:v>
      </x:c>
      <x:c r="B46" s="193" t="str">
        <x:v>再貶心猿</x:v>
      </x:c>
      <x:c r="C46" s="193" t="str">
        <x:v>再贬心猿</x:v>
      </x:c>
      <x:c r="D46" s="193" t="str">
        <x:v>第56回</x:v>
      </x:c>
      <x:c r="E46" s="193" t="str">
        <x:v>法宝后台与二心欲望</x:v>
      </x:c>
      <x:c r="F46" s="193" t="str">
        <x:v>团队/心性</x:v>
      </x:c>
      <x:c r="G46" s="193" t="str">
        <x:v>唐僧师徒、护法诸神</x:v>
      </x:c>
      <x:c r="H46" s="193" t="str">
        <x:v>心性之难常表现为团队信任危机、二心分裂或专业判断被误读。</x:v>
      </x:c>
      <x:c r="I46" s="193" t="str">
        <x:v>可从“再贬心猿”切入，写成“难—心性—组织/制度—人生启示”的短文。</x:v>
      </x:c>
      <x:c r="J46" s="193" t="str">
        <x:v>第99回难簿明列</x:v>
      </x:c>
      <x:c r="K46" s="193" t="str">
        <x:v>一级证据：维基文库第99回；二级证据：对应回目待逐条补摘</x:v>
      </x:c>
      <x:c r="L46" s="193" t="str">
        <x:v>已据第99回难簿校核</x:v>
      </x:c>
      <x:c r="M46" s="193" t="str">
        <x:v>https://zh.wikisource.org/wiki/%E8%A5%BF%E9%81%8A%E8%A8%98/%E7%AC%AC099%E5%9B%9E</x:v>
      </x:c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93" t="n">
        <x:v>46</x:v>
      </x:c>
      <x:c r="B47" s="193" t="str">
        <x:v>難辨獼猴</x:v>
      </x:c>
      <x:c r="C47" s="193" t="str">
        <x:v>难辨猕猴</x:v>
      </x:c>
      <x:c r="D47" s="193" t="str">
        <x:v>第57—58回</x:v>
      </x:c>
      <x:c r="E47" s="193" t="str">
        <x:v>法宝后台与二心欲望</x:v>
      </x:c>
      <x:c r="F47" s="193" t="str">
        <x:v>团队/心性</x:v>
      </x:c>
      <x:c r="G47" s="193" t="str">
        <x:v>六耳猕猴、如来</x:v>
      </x:c>
      <x:c r="H47" s="193" t="str">
        <x:v>心性之难常表现为团队信任危机、二心分裂或专业判断被误读。</x:v>
      </x:c>
      <x:c r="I47" s="193" t="str">
        <x:v>可从“难辨猕猴”切入，写成“难—心性—组织/制度—人生启示”的短文。</x:v>
      </x:c>
      <x:c r="J47" s="193" t="str">
        <x:v>第99回难簿明列</x:v>
      </x:c>
      <x:c r="K47" s="193" t="str">
        <x:v>一级证据：维基文库第99回；二级证据：对应回目待逐条补摘</x:v>
      </x:c>
      <x:c r="L47" s="193" t="str">
        <x:v>已据第99回难簿校核</x:v>
      </x:c>
      <x:c r="M47" s="193" t="str">
        <x:v>https://zh.wikisource.org/wiki/%E8%A5%BF%E9%81%8A%E8%A8%98/%E7%AC%AC099%E5%9B%9E</x:v>
      </x:c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93" t="n">
        <x:v>47</x:v>
      </x:c>
      <x:c r="B48" s="193" t="str">
        <x:v>路阻火焰山</x:v>
      </x:c>
      <x:c r="C48" s="193" t="str">
        <x:v>路阻火焰山</x:v>
      </x:c>
      <x:c r="D48" s="193" t="str">
        <x:v>第59回</x:v>
      </x:c>
      <x:c r="E48" s="193" t="str">
        <x:v>制度、祭祀与假权威</x:v>
      </x:c>
      <x:c r="F48" s="193" t="str">
        <x:v>环境/天灾/路阻</x:v>
      </x:c>
      <x:c r="G48" s="193" t="str">
        <x:v>铁扇公主、牛魔王</x:v>
      </x:c>
      <x:c r="H48" s="193" t="str">
        <x:v>以第99回难簿为主证据，再与对应回目原文逐条复核。</x:v>
      </x:c>
      <x:c r="I48" s="193" t="str">
        <x:v>可从“路阻火焰山”切入，写成“难—心性—组织/制度—人生启示”的短文。</x:v>
      </x:c>
      <x:c r="J48" s="193" t="str">
        <x:v>第99回难簿明列</x:v>
      </x:c>
      <x:c r="K48" s="193" t="str">
        <x:v>一级证据：维基文库第99回；二级证据：对应回目待逐条补摘</x:v>
      </x:c>
      <x:c r="L48" s="193" t="str">
        <x:v>已据第99回难簿校核</x:v>
      </x:c>
      <x:c r="M48" s="193" t="str">
        <x:v>https://zh.wikisource.org/wiki/%E8%A5%BF%E9%81%8A%E8%A8%98/%E7%AC%AC099%E5%9B%9E</x:v>
      </x:c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93" t="n">
        <x:v>48</x:v>
      </x:c>
      <x:c r="B49" s="193" t="str">
        <x:v>求取芭蕉扇</x:v>
      </x:c>
      <x:c r="C49" s="193" t="str">
        <x:v>求取芭蕉扇</x:v>
      </x:c>
      <x:c r="D49" s="193" t="str">
        <x:v>第59—60回</x:v>
      </x:c>
      <x:c r="E49" s="193" t="str">
        <x:v>制度、祭祀与假权威</x:v>
      </x:c>
      <x:c r="F49" s="193" t="str">
        <x:v>资源/法宝</x:v>
      </x:c>
      <x:c r="G49" s="193" t="str">
        <x:v>铁扇公主、芭蕉扇</x:v>
      </x:c>
      <x:c r="H49" s="193" t="str">
        <x:v>关键资源一旦错配、被窃或失控，风险会高于普通武力冲突。</x:v>
      </x:c>
      <x:c r="I49" s="193" t="str">
        <x:v>可从“求取芭蕉扇”切入，写成“难—心性—组织/制度—人生启示”的短文。</x:v>
      </x:c>
      <x:c r="J49" s="193" t="str">
        <x:v>第99回难簿明列</x:v>
      </x:c>
      <x:c r="K49" s="193" t="str">
        <x:v>一级证据：维基文库第99回；二级证据：对应回目待逐条补摘</x:v>
      </x:c>
      <x:c r="L49" s="193" t="str">
        <x:v>已据第99回难簿校核</x:v>
      </x:c>
      <x:c r="M49" s="193" t="str">
        <x:v>https://zh.wikisource.org/wiki/%E8%A5%BF%E9%81%8A%E8%A8%98/%E7%AC%AC099%E5%9B%9E</x:v>
      </x:c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93" t="n">
        <x:v>49</x:v>
      </x:c>
      <x:c r="B50" s="193" t="str">
        <x:v>收縛魔王</x:v>
      </x:c>
      <x:c r="C50" s="193" t="str">
        <x:v>收缚魔王</x:v>
      </x:c>
      <x:c r="D50" s="193" t="str">
        <x:v>第61回</x:v>
      </x:c>
      <x:c r="E50" s="193" t="str">
        <x:v>制度、祭祀与假权威</x:v>
      </x:c>
      <x:c r="F50" s="193" t="str">
        <x:v>妖怪/后台</x:v>
      </x:c>
      <x:c r="G50" s="193" t="str">
        <x:v>牛魔王</x:v>
      </x:c>
      <x:c r="H50" s="193" t="str">
        <x:v>以第99回难簿为主证据，再与对应回目原文逐条复核。</x:v>
      </x:c>
      <x:c r="I50" s="193" t="str">
        <x:v>可从“收缚魔王”切入，写成“难—心性—组织/制度—人生启示”的短文。</x:v>
      </x:c>
      <x:c r="J50" s="193" t="str">
        <x:v>第99回难簿明列</x:v>
      </x:c>
      <x:c r="K50" s="193" t="str">
        <x:v>一级证据：维基文库第99回；二级证据：对应回目待逐条补摘</x:v>
      </x:c>
      <x:c r="L50" s="193" t="str">
        <x:v>已据第99回难簿校核</x:v>
      </x:c>
      <x:c r="M50" s="193" t="str">
        <x:v>https://zh.wikisource.org/wiki/%E8%A5%BF%E9%81%8A%E8%A8%98/%E7%AC%AC099%E5%9B%9E</x:v>
      </x:c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  <x:row r="51">
      <x:c r="A51" s="193" t="n">
        <x:v>50</x:v>
      </x:c>
      <x:c r="B51" s="193" t="str">
        <x:v>賽城掃塔</x:v>
      </x:c>
      <x:c r="C51" s="193" t="str">
        <x:v>赛城扫塔</x:v>
      </x:c>
      <x:c r="D51" s="193" t="str">
        <x:v>第62回</x:v>
      </x:c>
      <x:c r="E51" s="193" t="str">
        <x:v>制度、祭祀与假权威</x:v>
      </x:c>
      <x:c r="F51" s="193" t="str">
        <x:v>国家/制度/王权</x:v>
      </x:c>
      <x:c r="G51" s="193" t="str">
        <x:v>祭赛国、金光寺</x:v>
      </x:c>
      <x:c r="H51" s="193" t="str">
        <x:v>国家、宫廷、制度系统本身也会成为取经障碍。</x:v>
      </x:c>
      <x:c r="I51" s="193" t="str">
        <x:v>可从“赛城扫塔”切入，写成“难—心性—组织/制度—人生启示”的短文。</x:v>
      </x:c>
      <x:c r="J51" s="193" t="str">
        <x:v>第99回难簿明列</x:v>
      </x:c>
      <x:c r="K51" s="193" t="str">
        <x:v>一级证据：维基文库第99回；二级证据：对应回目待逐条补摘</x:v>
      </x:c>
      <x:c r="L51" s="193" t="str">
        <x:v>已据第99回难簿校核</x:v>
      </x:c>
      <x:c r="M51" s="193" t="str">
        <x:v>https://zh.wikisource.org/wiki/%E8%A5%BF%E9%81%8A%E8%A8%98/%E7%AC%AC099%E5%9B%9E</x:v>
      </x:c>
      <x:c r="N51" s="186"/>
      <x:c r="O51" s="186"/>
      <x:c r="P51" s="186"/>
      <x:c r="Q51" s="186"/>
      <x:c r="R51" s="186"/>
      <x:c r="S51" s="186"/>
      <x:c r="T51" s="186"/>
      <x:c r="U51" s="186"/>
      <x:c r="V51" s="186"/>
      <x:c r="W51" s="186"/>
      <x:c r="X51" s="186"/>
      <x:c r="Y51" s="186"/>
      <x:c r="Z51" s="186"/>
    </x:row>
    <x:row r="52">
      <x:c r="A52" s="193" t="n">
        <x:v>51</x:v>
      </x:c>
      <x:c r="B52" s="193" t="str">
        <x:v>取寶救僧</x:v>
      </x:c>
      <x:c r="C52" s="193" t="str">
        <x:v>取宝救僧</x:v>
      </x:c>
      <x:c r="D52" s="193" t="str">
        <x:v>第63回</x:v>
      </x:c>
      <x:c r="E52" s="193" t="str">
        <x:v>制度、祭祀与假权威</x:v>
      </x:c>
      <x:c r="F52" s="193" t="str">
        <x:v>修行/归真</x:v>
      </x:c>
      <x:c r="G52" s="193" t="str">
        <x:v>九头虫、万圣龙宫</x:v>
      </x:c>
      <x:c r="H52" s="193" t="str">
        <x:v>以第99回难簿为主证据，再与对应回目原文逐条复核。</x:v>
      </x:c>
      <x:c r="I52" s="193" t="str">
        <x:v>可从“取宝救僧”切入，写成“难—心性—组织/制度—人生启示”的短文。</x:v>
      </x:c>
      <x:c r="J52" s="193" t="str">
        <x:v>第99回难簿明列</x:v>
      </x:c>
      <x:c r="K52" s="193" t="str">
        <x:v>一级证据：维基文库第99回；二级证据：对应回目待逐条补摘</x:v>
      </x:c>
      <x:c r="L52" s="193" t="str">
        <x:v>已据第99回难簿校核</x:v>
      </x:c>
      <x:c r="M52" s="193" t="str">
        <x:v>https://zh.wikisource.org/wiki/%E8%A5%BF%E9%81%8A%E8%A8%98/%E7%AC%AC099%E5%9B%9E</x:v>
      </x:c>
      <x:c r="N52" s="186"/>
      <x:c r="O52" s="186"/>
      <x:c r="P52" s="186"/>
      <x:c r="Q52" s="186"/>
      <x:c r="R52" s="186"/>
      <x:c r="S52" s="186"/>
      <x:c r="T52" s="186"/>
      <x:c r="U52" s="186"/>
      <x:c r="V52" s="186"/>
      <x:c r="W52" s="186"/>
      <x:c r="X52" s="186"/>
      <x:c r="Y52" s="186"/>
      <x:c r="Z52" s="186"/>
    </x:row>
    <x:row r="53">
      <x:c r="A53" s="193" t="n">
        <x:v>52</x:v>
      </x:c>
      <x:c r="B53" s="193" t="str">
        <x:v>棘林吟詠</x:v>
      </x:c>
      <x:c r="C53" s="193" t="str">
        <x:v>棘林吟咏</x:v>
      </x:c>
      <x:c r="D53" s="193" t="str">
        <x:v>第64回</x:v>
      </x:c>
      <x:c r="E53" s="193" t="str">
        <x:v>制度、祭祀与假权威</x:v>
      </x:c>
      <x:c r="F53" s="193" t="str">
        <x:v>修行/归真</x:v>
      </x:c>
      <x:c r="G53" s="193" t="str">
        <x:v>木仙庵、杏仙</x:v>
      </x:c>
      <x:c r="H53" s="193" t="str">
        <x:v>以第99回难簿为主证据，再与对应回目原文逐条复核。</x:v>
      </x:c>
      <x:c r="I53" s="193" t="str">
        <x:v>可从“棘林吟咏”切入，写成“难—心性—组织/制度—人生启示”的短文。</x:v>
      </x:c>
      <x:c r="J53" s="193" t="str">
        <x:v>第99回难簿明列</x:v>
      </x:c>
      <x:c r="K53" s="193" t="str">
        <x:v>一级证据：维基文库第99回；二级证据：对应回目待逐条补摘</x:v>
      </x:c>
      <x:c r="L53" s="193" t="str">
        <x:v>已据第99回难簿校核</x:v>
      </x:c>
      <x:c r="M53" s="193" t="str">
        <x:v>https://zh.wikisource.org/wiki/%E8%A5%BF%E9%81%8A%E8%A8%98/%E7%AC%AC099%E5%9B%9E</x:v>
      </x:c>
      <x:c r="N53" s="186"/>
      <x:c r="O53" s="186"/>
      <x:c r="P53" s="186"/>
      <x:c r="Q53" s="186"/>
      <x:c r="R53" s="186"/>
      <x:c r="S53" s="186"/>
      <x:c r="T53" s="186"/>
      <x:c r="U53" s="186"/>
      <x:c r="V53" s="186"/>
      <x:c r="W53" s="186"/>
      <x:c r="X53" s="186"/>
      <x:c r="Y53" s="186"/>
      <x:c r="Z53" s="186"/>
    </x:row>
    <x:row r="54">
      <x:c r="A54" s="193" t="n">
        <x:v>53</x:v>
      </x:c>
      <x:c r="B54" s="193" t="str">
        <x:v>小雷音遇難</x:v>
      </x:c>
      <x:c r="C54" s="193" t="str">
        <x:v>小雷音遇难</x:v>
      </x:c>
      <x:c r="D54" s="193" t="str">
        <x:v>第65回</x:v>
      </x:c>
      <x:c r="E54" s="193" t="str">
        <x:v>制度、祭祀与假权威</x:v>
      </x:c>
      <x:c r="F54" s="193" t="str">
        <x:v>假权威/最高救援</x:v>
      </x:c>
      <x:c r="G54" s="193" t="str">
        <x:v>黄眉老怪、弥勒</x:v>
      </x:c>
      <x:c r="H54" s="193" t="str">
        <x:v>假权威和最高权威相邻出现，显示越近目标越要辨认真伪。</x:v>
      </x:c>
      <x:c r="I54" s="193" t="str">
        <x:v>可从“小雷音遇难”切入，写成“难—心性—组织/制度—人生启示”的短文。</x:v>
      </x:c>
      <x:c r="J54" s="193" t="str">
        <x:v>第99回难簿明列</x:v>
      </x:c>
      <x:c r="K54" s="193" t="str">
        <x:v>一级证据：维基文库第99回；二级证据：对应回目待逐条补摘</x:v>
      </x:c>
      <x:c r="L54" s="193" t="str">
        <x:v>已据第99回难簿校核</x:v>
      </x:c>
      <x:c r="M54" s="193" t="str">
        <x:v>https://zh.wikisource.org/wiki/%E8%A5%BF%E9%81%8A%E8%A8%98/%E7%AC%AC099%E5%9B%9E</x:v>
      </x:c>
      <x:c r="N54" s="186"/>
      <x:c r="O54" s="186"/>
      <x:c r="P54" s="186"/>
      <x:c r="Q54" s="186"/>
      <x:c r="R54" s="186"/>
      <x:c r="S54" s="186"/>
      <x:c r="T54" s="186"/>
      <x:c r="U54" s="186"/>
      <x:c r="V54" s="186"/>
      <x:c r="W54" s="186"/>
      <x:c r="X54" s="186"/>
      <x:c r="Y54" s="186"/>
      <x:c r="Z54" s="186"/>
    </x:row>
    <x:row r="55">
      <x:c r="A55" s="193" t="n">
        <x:v>54</x:v>
      </x:c>
      <x:c r="B55" s="193" t="str">
        <x:v>諸天神遭困</x:v>
      </x:c>
      <x:c r="C55" s="193" t="str">
        <x:v>诸天神遭困</x:v>
      </x:c>
      <x:c r="D55" s="193" t="str">
        <x:v>第65—66回</x:v>
      </x:c>
      <x:c r="E55" s="193" t="str">
        <x:v>制度、祭祀与假权威</x:v>
      </x:c>
      <x:c r="F55" s="193" t="str">
        <x:v>假权威/最高救援</x:v>
      </x:c>
      <x:c r="G55" s="193" t="str">
        <x:v>唐僧师徒、护法诸神</x:v>
      </x:c>
      <x:c r="H55" s="193" t="str">
        <x:v>以第99回难簿为主证据，再与对应回目原文逐条复核。</x:v>
      </x:c>
      <x:c r="I55" s="193" t="str">
        <x:v>可从“诸天神遭困”切入，写成“难—心性—组织/制度—人生启示”的短文。</x:v>
      </x:c>
      <x:c r="J55" s="193" t="str">
        <x:v>第99回难簿明列</x:v>
      </x:c>
      <x:c r="K55" s="193" t="str">
        <x:v>一级证据：维基文库第99回；二级证据：对应回目待逐条补摘</x:v>
      </x:c>
      <x:c r="L55" s="193" t="str">
        <x:v>已据第99回难簿校核</x:v>
      </x:c>
      <x:c r="M55" s="193" t="str">
        <x:v>https://zh.wikisource.org/wiki/%E8%A5%BF%E9%81%8A%E8%A8%98/%E7%AC%AC099%E5%9B%9E</x:v>
      </x:c>
      <x:c r="N55" s="186"/>
      <x:c r="O55" s="186"/>
      <x:c r="P55" s="186"/>
      <x:c r="Q55" s="186"/>
      <x:c r="R55" s="186"/>
      <x:c r="S55" s="186"/>
      <x:c r="T55" s="186"/>
      <x:c r="U55" s="186"/>
      <x:c r="V55" s="186"/>
      <x:c r="W55" s="186"/>
      <x:c r="X55" s="186"/>
      <x:c r="Y55" s="186"/>
      <x:c r="Z55" s="186"/>
    </x:row>
    <x:row r="56">
      <x:c r="A56" s="193" t="n">
        <x:v>55</x:v>
      </x:c>
      <x:c r="B56" s="193" t="str">
        <x:v>稀柿衕穢阻</x:v>
      </x:c>
      <x:c r="C56" s="193" t="str">
        <x:v>稀柿衕秽阻</x:v>
      </x:c>
      <x:c r="D56" s="193" t="str">
        <x:v>第67回</x:v>
      </x:c>
      <x:c r="E56" s="193" t="str">
        <x:v>制度、祭祀与假权威</x:v>
      </x:c>
      <x:c r="F56" s="193" t="str">
        <x:v>环境/天灾/路阻</x:v>
      </x:c>
      <x:c r="G56" s="193" t="str">
        <x:v>蟒蛇精、驼罗庄</x:v>
      </x:c>
      <x:c r="H56" s="193" t="str">
        <x:v>以第99回难簿为主证据，再与对应回目原文逐条复核。</x:v>
      </x:c>
      <x:c r="I56" s="193" t="str">
        <x:v>可从“稀柿衕秽阻”切入，写成“难—心性—组织/制度—人生启示”的短文。</x:v>
      </x:c>
      <x:c r="J56" s="193" t="str">
        <x:v>第99回难簿明列</x:v>
      </x:c>
      <x:c r="K56" s="193" t="str">
        <x:v>一级证据：维基文库第99回；二级证据：对应回目待逐条补摘</x:v>
      </x:c>
      <x:c r="L56" s="193" t="str">
        <x:v>已据第99回难簿校核</x:v>
      </x:c>
      <x:c r="M56" s="193" t="str">
        <x:v>https://zh.wikisource.org/wiki/%E8%A5%BF%E9%81%8A%E8%A8%98/%E7%AC%AC099%E5%9B%9E</x:v>
      </x:c>
      <x:c r="N56" s="186"/>
      <x:c r="O56" s="186"/>
      <x:c r="P56" s="186"/>
      <x:c r="Q56" s="186"/>
      <x:c r="R56" s="186"/>
      <x:c r="S56" s="186"/>
      <x:c r="T56" s="186"/>
      <x:c r="U56" s="186"/>
      <x:c r="V56" s="186"/>
      <x:c r="W56" s="186"/>
      <x:c r="X56" s="186"/>
      <x:c r="Y56" s="186"/>
      <x:c r="Z56" s="186"/>
    </x:row>
    <x:row r="57">
      <x:c r="A57" s="193" t="n">
        <x:v>56</x:v>
      </x:c>
      <x:c r="B57" s="193" t="str">
        <x:v>朱紫國行醫</x:v>
      </x:c>
      <x:c r="C57" s="193" t="str">
        <x:v>朱紫国行医</x:v>
      </x:c>
      <x:c r="D57" s="193" t="str">
        <x:v>第68—69回</x:v>
      </x:c>
      <x:c r="E57" s="193" t="str">
        <x:v>制度、祭祀与假权威</x:v>
      </x:c>
      <x:c r="F57" s="193" t="str">
        <x:v>国家/制度/王权</x:v>
      </x:c>
      <x:c r="G57" s="193" t="str">
        <x:v>朱紫国王、赛太岁</x:v>
      </x:c>
      <x:c r="H57" s="193" t="str">
        <x:v>国家、宫廷、制度系统本身也会成为取经障碍。</x:v>
      </x:c>
      <x:c r="I57" s="193" t="str">
        <x:v>可从“朱紫国行医”切入，写成“难—心性—组织/制度—人生启示”的短文。</x:v>
      </x:c>
      <x:c r="J57" s="193" t="str">
        <x:v>第99回难簿明列</x:v>
      </x:c>
      <x:c r="K57" s="193" t="str">
        <x:v>一级证据：维基文库第99回；二级证据：对应回目待逐条补摘</x:v>
      </x:c>
      <x:c r="L57" s="193" t="str">
        <x:v>已据第99回难簿校核</x:v>
      </x:c>
      <x:c r="M57" s="193" t="str">
        <x:v>https://zh.wikisource.org/wiki/%E8%A5%BF%E9%81%8A%E8%A8%98/%E7%AC%AC099%E5%9B%9E</x:v>
      </x:c>
      <x:c r="N57" s="186"/>
      <x:c r="O57" s="186"/>
      <x:c r="P57" s="186"/>
      <x:c r="Q57" s="186"/>
      <x:c r="R57" s="186"/>
      <x:c r="S57" s="186"/>
      <x:c r="T57" s="186"/>
      <x:c r="U57" s="186"/>
      <x:c r="V57" s="186"/>
      <x:c r="W57" s="186"/>
      <x:c r="X57" s="186"/>
      <x:c r="Y57" s="186"/>
      <x:c r="Z57" s="186"/>
    </x:row>
    <x:row r="58">
      <x:c r="A58" s="193" t="n">
        <x:v>57</x:v>
      </x:c>
      <x:c r="B58" s="193" t="str">
        <x:v>拯救疲癃</x:v>
      </x:c>
      <x:c r="C58" s="193" t="str">
        <x:v>拯救疲癃</x:v>
      </x:c>
      <x:c r="D58" s="193" t="str">
        <x:v>第69回</x:v>
      </x:c>
      <x:c r="E58" s="193" t="str">
        <x:v>制度、祭祀与假权威</x:v>
      </x:c>
      <x:c r="F58" s="193" t="str">
        <x:v>修行/归真</x:v>
      </x:c>
      <x:c r="G58" s="193" t="str">
        <x:v>唐僧师徒、护法诸神</x:v>
      </x:c>
      <x:c r="H58" s="193" t="str">
        <x:v>以第99回难簿为主证据，再与对应回目原文逐条复核。</x:v>
      </x:c>
      <x:c r="I58" s="193" t="str">
        <x:v>可从“拯救疲癃”切入，写成“难—心性—组织/制度—人生启示”的短文。</x:v>
      </x:c>
      <x:c r="J58" s="193" t="str">
        <x:v>第99回难簿明列</x:v>
      </x:c>
      <x:c r="K58" s="193" t="str">
        <x:v>一级证据：维基文库第99回；二级证据：对应回目待逐条补摘</x:v>
      </x:c>
      <x:c r="L58" s="193" t="str">
        <x:v>已据第99回难簿校核</x:v>
      </x:c>
      <x:c r="M58" s="193" t="str">
        <x:v>https://zh.wikisource.org/wiki/%E8%A5%BF%E9%81%8A%E8%A8%98/%E7%AC%AC099%E5%9B%9E</x:v>
      </x:c>
      <x:c r="N58" s="186"/>
      <x:c r="O58" s="186"/>
      <x:c r="P58" s="186"/>
      <x:c r="Q58" s="186"/>
      <x:c r="R58" s="186"/>
      <x:c r="S58" s="186"/>
      <x:c r="T58" s="186"/>
      <x:c r="U58" s="186"/>
      <x:c r="V58" s="186"/>
      <x:c r="W58" s="186"/>
      <x:c r="X58" s="186"/>
      <x:c r="Y58" s="186"/>
      <x:c r="Z58" s="186"/>
    </x:row>
    <x:row r="59">
      <x:c r="A59" s="193" t="n">
        <x:v>58</x:v>
      </x:c>
      <x:c r="B59" s="193" t="str">
        <x:v>降妖取后</x:v>
      </x:c>
      <x:c r="C59" s="193" t="str">
        <x:v>降妖取后</x:v>
      </x:c>
      <x:c r="D59" s="193" t="str">
        <x:v>第70—71回</x:v>
      </x:c>
      <x:c r="E59" s="193" t="str">
        <x:v>制度、祭祀与假权威</x:v>
      </x:c>
      <x:c r="F59" s="193" t="str">
        <x:v>妖怪/后台</x:v>
      </x:c>
      <x:c r="G59" s="193" t="str">
        <x:v>唐僧师徒、护法诸神</x:v>
      </x:c>
      <x:c r="H59" s="193" t="str">
        <x:v>以第99回难簿为主证据，再与对应回目原文逐条复核。</x:v>
      </x:c>
      <x:c r="I59" s="193" t="str">
        <x:v>可从“降妖取后”切入，写成“难—心性—组织/制度—人生启示”的短文。</x:v>
      </x:c>
      <x:c r="J59" s="193" t="str">
        <x:v>第99回难簿明列</x:v>
      </x:c>
      <x:c r="K59" s="193" t="str">
        <x:v>一级证据：维基文库第99回；二级证据：对应回目待逐条补摘</x:v>
      </x:c>
      <x:c r="L59" s="193" t="str">
        <x:v>已据第99回难簿校核</x:v>
      </x:c>
      <x:c r="M59" s="193" t="str">
        <x:v>https://zh.wikisource.org/wiki/%E8%A5%BF%E9%81%8A%E8%A8%98/%E7%AC%AC099%E5%9B%9E</x:v>
      </x:c>
      <x:c r="N59" s="186"/>
      <x:c r="O59" s="186"/>
      <x:c r="P59" s="186"/>
      <x:c r="Q59" s="186"/>
      <x:c r="R59" s="186"/>
      <x:c r="S59" s="186"/>
      <x:c r="T59" s="186"/>
      <x:c r="U59" s="186"/>
      <x:c r="V59" s="186"/>
      <x:c r="W59" s="186"/>
      <x:c r="X59" s="186"/>
      <x:c r="Y59" s="186"/>
      <x:c r="Z59" s="186"/>
    </x:row>
    <x:row r="60">
      <x:c r="A60" s="193" t="n">
        <x:v>59</x:v>
      </x:c>
      <x:c r="B60" s="193" t="str">
        <x:v>七情迷沒</x:v>
      </x:c>
      <x:c r="C60" s="193" t="str">
        <x:v>七情迷没</x:v>
      </x:c>
      <x:c r="D60" s="193" t="str">
        <x:v>第72回</x:v>
      </x:c>
      <x:c r="E60" s="193" t="str">
        <x:v>高阶妖怪与极端风险</x:v>
      </x:c>
      <x:c r="F60" s="193" t="str">
        <x:v>欲望/身体</x:v>
      </x:c>
      <x:c r="G60" s="193" t="str">
        <x:v>蜘蛛精、八戒</x:v>
      </x:c>
      <x:c r="H60" s="193" t="str">
        <x:v>以第99回难簿为主证据，再与对应回目原文逐条复核。</x:v>
      </x:c>
      <x:c r="I60" s="193" t="str">
        <x:v>可从“七情迷没”切入，写成“难—心性—组织/制度—人生启示”的短文。</x:v>
      </x:c>
      <x:c r="J60" s="193" t="str">
        <x:v>第99回难簿明列</x:v>
      </x:c>
      <x:c r="K60" s="193" t="str">
        <x:v>一级证据：维基文库第99回；二级证据：对应回目待逐条补摘</x:v>
      </x:c>
      <x:c r="L60" s="193" t="str">
        <x:v>已据第99回难簿校核</x:v>
      </x:c>
      <x:c r="M60" s="193" t="str">
        <x:v>https://zh.wikisource.org/wiki/%E8%A5%BF%E9%81%8A%E8%A8%98/%E7%AC%AC099%E5%9B%9E</x:v>
      </x:c>
      <x:c r="N60" s="186"/>
      <x:c r="O60" s="186"/>
      <x:c r="P60" s="186"/>
      <x:c r="Q60" s="186"/>
      <x:c r="R60" s="186"/>
      <x:c r="S60" s="186"/>
      <x:c r="T60" s="186"/>
      <x:c r="U60" s="186"/>
      <x:c r="V60" s="186"/>
      <x:c r="W60" s="186"/>
      <x:c r="X60" s="186"/>
      <x:c r="Y60" s="186"/>
      <x:c r="Z60" s="186"/>
    </x:row>
    <x:row r="61">
      <x:c r="A61" s="193" t="n">
        <x:v>60</x:v>
      </x:c>
      <x:c r="B61" s="193" t="str">
        <x:v>多目遭傷</x:v>
      </x:c>
      <x:c r="C61" s="193" t="str">
        <x:v>多目遭伤</x:v>
      </x:c>
      <x:c r="D61" s="193" t="str">
        <x:v>第73回</x:v>
      </x:c>
      <x:c r="E61" s="193" t="str">
        <x:v>高阶妖怪与极端风险</x:v>
      </x:c>
      <x:c r="F61" s="193" t="str">
        <x:v>妖怪/后台</x:v>
      </x:c>
      <x:c r="G61" s="193" t="str">
        <x:v>蜈蚣精、毗蓝婆</x:v>
      </x:c>
      <x:c r="H61" s="193" t="str">
        <x:v>以第99回难簿为主证据，再与对应回目原文逐条复核。</x:v>
      </x:c>
      <x:c r="I61" s="193" t="str">
        <x:v>可从“多目遭伤”切入，写成“难—心性—组织/制度—人生启示”的短文。</x:v>
      </x:c>
      <x:c r="J61" s="193" t="str">
        <x:v>第99回难簿明列</x:v>
      </x:c>
      <x:c r="K61" s="193" t="str">
        <x:v>一级证据：维基文库第99回；二级证据：对应回目待逐条补摘</x:v>
      </x:c>
      <x:c r="L61" s="193" t="str">
        <x:v>已据第99回难簿校核</x:v>
      </x:c>
      <x:c r="M61" s="193" t="str">
        <x:v>https://zh.wikisource.org/wiki/%E8%A5%BF%E9%81%8A%E8%A8%98/%E7%AC%AC099%E5%9B%9E</x:v>
      </x:c>
      <x:c r="N61" s="186"/>
      <x:c r="O61" s="186"/>
      <x:c r="P61" s="186"/>
      <x:c r="Q61" s="186"/>
      <x:c r="R61" s="186"/>
      <x:c r="S61" s="186"/>
      <x:c r="T61" s="186"/>
      <x:c r="U61" s="186"/>
      <x:c r="V61" s="186"/>
      <x:c r="W61" s="186"/>
      <x:c r="X61" s="186"/>
      <x:c r="Y61" s="186"/>
      <x:c r="Z61" s="186"/>
    </x:row>
    <x:row r="62">
      <x:c r="A62" s="193" t="n">
        <x:v>61</x:v>
      </x:c>
      <x:c r="B62" s="193" t="str">
        <x:v>路阻獅駝</x:v>
      </x:c>
      <x:c r="C62" s="193" t="str">
        <x:v>路阻狮驼</x:v>
      </x:c>
      <x:c r="D62" s="193" t="str">
        <x:v>第74回</x:v>
      </x:c>
      <x:c r="E62" s="193" t="str">
        <x:v>高阶妖怪与极端风险</x:v>
      </x:c>
      <x:c r="F62" s="193" t="str">
        <x:v>环境/天灾/路阻</x:v>
      </x:c>
      <x:c r="G62" s="193" t="str">
        <x:v>青狮、白象、大鹏</x:v>
      </x:c>
      <x:c r="H62" s="193" t="str">
        <x:v>以第99回难簿为主证据，再与对应回目原文逐条复核。</x:v>
      </x:c>
      <x:c r="I62" s="193" t="str">
        <x:v>可从“路阻狮驼”切入，写成“难—心性—组织/制度—人生启示”的短文。</x:v>
      </x:c>
      <x:c r="J62" s="193" t="str">
        <x:v>第99回难簿明列</x:v>
      </x:c>
      <x:c r="K62" s="193" t="str">
        <x:v>一级证据：维基文库第99回；二级证据：对应回目待逐条补摘</x:v>
      </x:c>
      <x:c r="L62" s="193" t="str">
        <x:v>已据第99回难簿校核</x:v>
      </x:c>
      <x:c r="M62" s="193" t="str">
        <x:v>https://zh.wikisource.org/wiki/%E8%A5%BF%E9%81%8A%E8%A8%98/%E7%AC%AC099%E5%9B%9E</x:v>
      </x:c>
      <x:c r="N62" s="186"/>
      <x:c r="O62" s="186"/>
      <x:c r="P62" s="186"/>
      <x:c r="Q62" s="186"/>
      <x:c r="R62" s="186"/>
      <x:c r="S62" s="186"/>
      <x:c r="T62" s="186"/>
      <x:c r="U62" s="186"/>
      <x:c r="V62" s="186"/>
      <x:c r="W62" s="186"/>
      <x:c r="X62" s="186"/>
      <x:c r="Y62" s="186"/>
      <x:c r="Z62" s="186"/>
    </x:row>
    <x:row r="63">
      <x:c r="A63" s="193" t="n">
        <x:v>62</x:v>
      </x:c>
      <x:c r="B63" s="193" t="str">
        <x:v>怪分三色</x:v>
      </x:c>
      <x:c r="C63" s="193" t="str">
        <x:v>怪分三色</x:v>
      </x:c>
      <x:c r="D63" s="193" t="str">
        <x:v>第75回</x:v>
      </x:c>
      <x:c r="E63" s="193" t="str">
        <x:v>高阶妖怪与极端风险</x:v>
      </x:c>
      <x:c r="F63" s="193" t="str">
        <x:v>妖怪/后台</x:v>
      </x:c>
      <x:c r="G63" s="193" t="str">
        <x:v>唐僧师徒、护法诸神</x:v>
      </x:c>
      <x:c r="H63" s="193" t="str">
        <x:v>以第99回难簿为主证据，再与对应回目原文逐条复核。</x:v>
      </x:c>
      <x:c r="I63" s="193" t="str">
        <x:v>可从“怪分三色”切入，写成“难—心性—组织/制度—人生启示”的短文。</x:v>
      </x:c>
      <x:c r="J63" s="193" t="str">
        <x:v>第99回难簿明列</x:v>
      </x:c>
      <x:c r="K63" s="193" t="str">
        <x:v>一级证据：维基文库第99回；二级证据：对应回目待逐条补摘</x:v>
      </x:c>
      <x:c r="L63" s="193" t="str">
        <x:v>已据第99回难簿校核</x:v>
      </x:c>
      <x:c r="M63" s="193" t="str">
        <x:v>https://zh.wikisource.org/wiki/%E8%A5%BF%E9%81%8A%E8%A8%98/%E7%AC%AC099%E5%9B%9E</x:v>
      </x:c>
      <x:c r="N63" s="186"/>
      <x:c r="O63" s="186"/>
      <x:c r="P63" s="186"/>
      <x:c r="Q63" s="186"/>
      <x:c r="R63" s="186"/>
      <x:c r="S63" s="186"/>
      <x:c r="T63" s="186"/>
      <x:c r="U63" s="186"/>
      <x:c r="V63" s="186"/>
      <x:c r="W63" s="186"/>
      <x:c r="X63" s="186"/>
      <x:c r="Y63" s="186"/>
      <x:c r="Z63" s="186"/>
    </x:row>
    <x:row r="64">
      <x:c r="A64" s="193" t="n">
        <x:v>63</x:v>
      </x:c>
      <x:c r="B64" s="193" t="str">
        <x:v>城裡遇災</x:v>
      </x:c>
      <x:c r="C64" s="193" t="str">
        <x:v>城里遇灾</x:v>
      </x:c>
      <x:c r="D64" s="193" t="str">
        <x:v>第76回</x:v>
      </x:c>
      <x:c r="E64" s="193" t="str">
        <x:v>高阶妖怪与极端风险</x:v>
      </x:c>
      <x:c r="F64" s="193" t="str">
        <x:v>国家/制度/王权</x:v>
      </x:c>
      <x:c r="G64" s="193" t="str">
        <x:v>唐僧师徒、护法诸神</x:v>
      </x:c>
      <x:c r="H64" s="193" t="str">
        <x:v>国家、宫廷、制度系统本身也会成为取经障碍。</x:v>
      </x:c>
      <x:c r="I64" s="193" t="str">
        <x:v>可从“城里遇灾”切入，写成“难—心性—组织/制度—人生启示”的短文。</x:v>
      </x:c>
      <x:c r="J64" s="193" t="str">
        <x:v>第99回难簿明列</x:v>
      </x:c>
      <x:c r="K64" s="193" t="str">
        <x:v>一级证据：维基文库第99回；二级证据：对应回目待逐条补摘</x:v>
      </x:c>
      <x:c r="L64" s="193" t="str">
        <x:v>已据第99回难簿校核</x:v>
      </x:c>
      <x:c r="M64" s="193" t="str">
        <x:v>https://zh.wikisource.org/wiki/%E8%A5%BF%E9%81%8A%E8%A8%98/%E7%AC%AC099%E5%9B%9E</x:v>
      </x:c>
      <x:c r="N64" s="186"/>
      <x:c r="O64" s="186"/>
      <x:c r="P64" s="186"/>
      <x:c r="Q64" s="186"/>
      <x:c r="R64" s="186"/>
      <x:c r="S64" s="186"/>
      <x:c r="T64" s="186"/>
      <x:c r="U64" s="186"/>
      <x:c r="V64" s="186"/>
      <x:c r="W64" s="186"/>
      <x:c r="X64" s="186"/>
      <x:c r="Y64" s="186"/>
      <x:c r="Z64" s="186"/>
    </x:row>
    <x:row r="65">
      <x:c r="A65" s="193" t="n">
        <x:v>64</x:v>
      </x:c>
      <x:c r="B65" s="193" t="str">
        <x:v>請佛收魔</x:v>
      </x:c>
      <x:c r="C65" s="193" t="str">
        <x:v>请佛收魔</x:v>
      </x:c>
      <x:c r="D65" s="193" t="str">
        <x:v>第77回</x:v>
      </x:c>
      <x:c r="E65" s="193" t="str">
        <x:v>高阶妖怪与极端风险</x:v>
      </x:c>
      <x:c r="F65" s="193" t="str">
        <x:v>假权威/最高救援</x:v>
      </x:c>
      <x:c r="G65" s="193" t="str">
        <x:v>唐僧师徒、护法诸神</x:v>
      </x:c>
      <x:c r="H65" s="193" t="str">
        <x:v>假权威和最高权威相邻出现，显示越近目标越要辨认真伪。</x:v>
      </x:c>
      <x:c r="I65" s="193" t="str">
        <x:v>可从“请佛收魔”切入，写成“难—心性—组织/制度—人生启示”的短文。</x:v>
      </x:c>
      <x:c r="J65" s="193" t="str">
        <x:v>第99回难簿明列</x:v>
      </x:c>
      <x:c r="K65" s="193" t="str">
        <x:v>一级证据：维基文库第99回；二级证据：对应回目待逐条补摘</x:v>
      </x:c>
      <x:c r="L65" s="193" t="str">
        <x:v>已据第99回难簿校核</x:v>
      </x:c>
      <x:c r="M65" s="193" t="str">
        <x:v>https://zh.wikisource.org/wiki/%E8%A5%BF%E9%81%8A%E8%A8%98/%E7%AC%AC099%E5%9B%9E</x:v>
      </x:c>
      <x:c r="N65" s="186"/>
      <x:c r="O65" s="186"/>
      <x:c r="P65" s="186"/>
      <x:c r="Q65" s="186"/>
      <x:c r="R65" s="186"/>
      <x:c r="S65" s="186"/>
      <x:c r="T65" s="186"/>
      <x:c r="U65" s="186"/>
      <x:c r="V65" s="186"/>
      <x:c r="W65" s="186"/>
      <x:c r="X65" s="186"/>
      <x:c r="Y65" s="186"/>
      <x:c r="Z65" s="186"/>
    </x:row>
    <x:row r="66">
      <x:c r="A66" s="193" t="n">
        <x:v>65</x:v>
      </x:c>
      <x:c r="B66" s="193" t="str">
        <x:v>比丘救子</x:v>
      </x:c>
      <x:c r="C66" s="193" t="str">
        <x:v>比丘救子</x:v>
      </x:c>
      <x:c r="D66" s="193" t="str">
        <x:v>第78—79回</x:v>
      </x:c>
      <x:c r="E66" s="193" t="str">
        <x:v>后半程国家治理与后台升级</x:v>
      </x:c>
      <x:c r="F66" s="193" t="str">
        <x:v>国家/制度/王权</x:v>
      </x:c>
      <x:c r="G66" s="193" t="str">
        <x:v>白鹿精、狐狸精</x:v>
      </x:c>
      <x:c r="H66" s="193" t="str">
        <x:v>以第99回难簿为主证据，再与对应回目原文逐条复核。</x:v>
      </x:c>
      <x:c r="I66" s="193" t="str">
        <x:v>可从“比丘救子”切入，写成“难—心性—组织/制度—人生启示”的短文。</x:v>
      </x:c>
      <x:c r="J66" s="193" t="str">
        <x:v>第99回难簿明列</x:v>
      </x:c>
      <x:c r="K66" s="193" t="str">
        <x:v>一级证据：维基文库第99回；二级证据：对应回目待逐条补摘</x:v>
      </x:c>
      <x:c r="L66" s="193" t="str">
        <x:v>已据第99回难簿校核</x:v>
      </x:c>
      <x:c r="M66" s="193" t="str">
        <x:v>https://zh.wikisource.org/wiki/%E8%A5%BF%E9%81%8A%E8%A8%98/%E7%AC%AC099%E5%9B%9E</x:v>
      </x:c>
      <x:c r="N66" s="186"/>
      <x:c r="O66" s="186"/>
      <x:c r="P66" s="186"/>
      <x:c r="Q66" s="186"/>
      <x:c r="R66" s="186"/>
      <x:c r="S66" s="186"/>
      <x:c r="T66" s="186"/>
      <x:c r="U66" s="186"/>
      <x:c r="V66" s="186"/>
      <x:c r="W66" s="186"/>
      <x:c r="X66" s="186"/>
      <x:c r="Y66" s="186"/>
      <x:c r="Z66" s="186"/>
    </x:row>
    <x:row r="67">
      <x:c r="A67" s="193" t="n">
        <x:v>66</x:v>
      </x:c>
      <x:c r="B67" s="193" t="str">
        <x:v>辨認真邪</x:v>
      </x:c>
      <x:c r="C67" s="193" t="str">
        <x:v>辨认真邪</x:v>
      </x:c>
      <x:c r="D67" s="193" t="str">
        <x:v>第79回</x:v>
      </x:c>
      <x:c r="E67" s="193" t="str">
        <x:v>后半程国家治理与后台升级</x:v>
      </x:c>
      <x:c r="F67" s="193" t="str">
        <x:v>团队/心性</x:v>
      </x:c>
      <x:c r="G67" s="193" t="str">
        <x:v>唐僧师徒、护法诸神</x:v>
      </x:c>
      <x:c r="H67" s="193" t="str">
        <x:v>以第99回难簿为主证据，再与对应回目原文逐条复核。</x:v>
      </x:c>
      <x:c r="I67" s="193" t="str">
        <x:v>可从“辨认真邪”切入，写成“难—心性—组织/制度—人生启示”的短文。</x:v>
      </x:c>
      <x:c r="J67" s="193" t="str">
        <x:v>第99回难簿明列</x:v>
      </x:c>
      <x:c r="K67" s="193" t="str">
        <x:v>一级证据：维基文库第99回；二级证据：对应回目待逐条补摘</x:v>
      </x:c>
      <x:c r="L67" s="193" t="str">
        <x:v>已据第99回难簿校核</x:v>
      </x:c>
      <x:c r="M67" s="193" t="str">
        <x:v>https://zh.wikisource.org/wiki/%E8%A5%BF%E9%81%8A%E8%A8%98/%E7%AC%AC099%E5%9B%9E</x:v>
      </x:c>
      <x:c r="N67" s="186"/>
      <x:c r="O67" s="186"/>
      <x:c r="P67" s="186"/>
      <x:c r="Q67" s="186"/>
      <x:c r="R67" s="186"/>
      <x:c r="S67" s="186"/>
      <x:c r="T67" s="186"/>
      <x:c r="U67" s="186"/>
      <x:c r="V67" s="186"/>
      <x:c r="W67" s="186"/>
      <x:c r="X67" s="186"/>
      <x:c r="Y67" s="186"/>
      <x:c r="Z67" s="186"/>
    </x:row>
    <x:row r="68">
      <x:c r="A68" s="193" t="n">
        <x:v>67</x:v>
      </x:c>
      <x:c r="B68" s="193" t="str">
        <x:v>松林救怪</x:v>
      </x:c>
      <x:c r="C68" s="193" t="str">
        <x:v>松林救怪</x:v>
      </x:c>
      <x:c r="D68" s="193" t="str">
        <x:v>第80回</x:v>
      </x:c>
      <x:c r="E68" s="193" t="str">
        <x:v>后半程国家治理与后台升级</x:v>
      </x:c>
      <x:c r="F68" s="193" t="str">
        <x:v>妖怪/后台</x:v>
      </x:c>
      <x:c r="G68" s="193" t="str">
        <x:v>唐僧师徒、护法诸神</x:v>
      </x:c>
      <x:c r="H68" s="193" t="str">
        <x:v>以第99回难簿为主证据，再与对应回目原文逐条复核。</x:v>
      </x:c>
      <x:c r="I68" s="193" t="str">
        <x:v>可从“松林救怪”切入，写成“难—心性—组织/制度—人生启示”的短文。</x:v>
      </x:c>
      <x:c r="J68" s="193" t="str">
        <x:v>第99回难簿明列</x:v>
      </x:c>
      <x:c r="K68" s="193" t="str">
        <x:v>一级证据：维基文库第99回；二级证据：对应回目待逐条补摘</x:v>
      </x:c>
      <x:c r="L68" s="193" t="str">
        <x:v>已据第99回难簿校核</x:v>
      </x:c>
      <x:c r="M68" s="193" t="str">
        <x:v>https://zh.wikisource.org/wiki/%E8%A5%BF%E9%81%8A%E8%A8%98/%E7%AC%AC099%E5%9B%9E</x:v>
      </x:c>
      <x:c r="N68" s="186"/>
      <x:c r="O68" s="186"/>
      <x:c r="P68" s="186"/>
      <x:c r="Q68" s="186"/>
      <x:c r="R68" s="186"/>
      <x:c r="S68" s="186"/>
      <x:c r="T68" s="186"/>
      <x:c r="U68" s="186"/>
      <x:c r="V68" s="186"/>
      <x:c r="W68" s="186"/>
      <x:c r="X68" s="186"/>
      <x:c r="Y68" s="186"/>
      <x:c r="Z68" s="186"/>
    </x:row>
    <x:row r="69">
      <x:c r="A69" s="193" t="n">
        <x:v>68</x:v>
      </x:c>
      <x:c r="B69" s="193" t="str">
        <x:v>僧房臥病</x:v>
      </x:c>
      <x:c r="C69" s="193" t="str">
        <x:v>僧房卧病</x:v>
      </x:c>
      <x:c r="D69" s="193" t="str">
        <x:v>第81回</x:v>
      </x:c>
      <x:c r="E69" s="193" t="str">
        <x:v>后半程国家治理与后台升级</x:v>
      </x:c>
      <x:c r="F69" s="193" t="str">
        <x:v>修行/归真</x:v>
      </x:c>
      <x:c r="G69" s="193" t="str">
        <x:v>唐僧师徒、护法诸神</x:v>
      </x:c>
      <x:c r="H69" s="193" t="str">
        <x:v>以第99回难簿为主证据，再与对应回目原文逐条复核。</x:v>
      </x:c>
      <x:c r="I69" s="193" t="str">
        <x:v>可从“僧房卧病”切入，写成“难—心性—组织/制度—人生启示”的短文。</x:v>
      </x:c>
      <x:c r="J69" s="193" t="str">
        <x:v>第99回难簿明列</x:v>
      </x:c>
      <x:c r="K69" s="193" t="str">
        <x:v>一级证据：维基文库第99回；二级证据：对应回目待逐条补摘</x:v>
      </x:c>
      <x:c r="L69" s="193" t="str">
        <x:v>已据第99回难簿校核</x:v>
      </x:c>
      <x:c r="M69" s="193" t="str">
        <x:v>https://zh.wikisource.org/wiki/%E8%A5%BF%E9%81%8A%E8%A8%98/%E7%AC%AC099%E5%9B%9E</x:v>
      </x:c>
      <x:c r="N69" s="186"/>
      <x:c r="O69" s="186"/>
      <x:c r="P69" s="186"/>
      <x:c r="Q69" s="186"/>
      <x:c r="R69" s="186"/>
      <x:c r="S69" s="186"/>
      <x:c r="T69" s="186"/>
      <x:c r="U69" s="186"/>
      <x:c r="V69" s="186"/>
      <x:c r="W69" s="186"/>
      <x:c r="X69" s="186"/>
      <x:c r="Y69" s="186"/>
      <x:c r="Z69" s="186"/>
    </x:row>
    <x:row r="70">
      <x:c r="A70" s="193" t="n">
        <x:v>69</x:v>
      </x:c>
      <x:c r="B70" s="193" t="str">
        <x:v>無底洞遭困</x:v>
      </x:c>
      <x:c r="C70" s="193" t="str">
        <x:v>无底洞遭困</x:v>
      </x:c>
      <x:c r="D70" s="193" t="str">
        <x:v>第82—83回</x:v>
      </x:c>
      <x:c r="E70" s="193" t="str">
        <x:v>后半程国家治理与后台升级</x:v>
      </x:c>
      <x:c r="F70" s="193" t="str">
        <x:v>妖怪/后台</x:v>
      </x:c>
      <x:c r="G70" s="193" t="str">
        <x:v>地涌夫人、托塔天王</x:v>
      </x:c>
      <x:c r="H70" s="193" t="str">
        <x:v>以第99回难簿为主证据，再与对应回目原文逐条复核。</x:v>
      </x:c>
      <x:c r="I70" s="193" t="str">
        <x:v>可从“无底洞遭困”切入，写成“难—心性—组织/制度—人生启示”的短文。</x:v>
      </x:c>
      <x:c r="J70" s="193" t="str">
        <x:v>第99回难簿明列</x:v>
      </x:c>
      <x:c r="K70" s="193" t="str">
        <x:v>一级证据：维基文库第99回；二级证据：对应回目待逐条补摘</x:v>
      </x:c>
      <x:c r="L70" s="193" t="str">
        <x:v>已据第99回难簿校核</x:v>
      </x:c>
      <x:c r="M70" s="193" t="str">
        <x:v>https://zh.wikisource.org/wiki/%E8%A5%BF%E9%81%8A%E8%A8%98/%E7%AC%AC099%E5%9B%9E</x:v>
      </x:c>
      <x:c r="N70" s="186"/>
      <x:c r="O70" s="186"/>
      <x:c r="P70" s="186"/>
      <x:c r="Q70" s="186"/>
      <x:c r="R70" s="186"/>
      <x:c r="S70" s="186"/>
      <x:c r="T70" s="186"/>
      <x:c r="U70" s="186"/>
      <x:c r="V70" s="186"/>
      <x:c r="W70" s="186"/>
      <x:c r="X70" s="186"/>
      <x:c r="Y70" s="186"/>
      <x:c r="Z70" s="186"/>
    </x:row>
    <x:row r="71">
      <x:c r="A71" s="193" t="n">
        <x:v>70</x:v>
      </x:c>
      <x:c r="B71" s="193" t="str">
        <x:v>滅法國難行</x:v>
      </x:c>
      <x:c r="C71" s="193" t="str">
        <x:v>灭法国难行</x:v>
      </x:c>
      <x:c r="D71" s="193" t="str">
        <x:v>第84回</x:v>
      </x:c>
      <x:c r="E71" s="193" t="str">
        <x:v>后半程国家治理与后台升级</x:v>
      </x:c>
      <x:c r="F71" s="193" t="str">
        <x:v>国家/制度/王权</x:v>
      </x:c>
      <x:c r="G71" s="193" t="str">
        <x:v>灭法国王</x:v>
      </x:c>
      <x:c r="H71" s="193" t="str">
        <x:v>国家、宫廷、制度系统本身也会成为取经障碍。</x:v>
      </x:c>
      <x:c r="I71" s="193" t="str">
        <x:v>可从“灭法国难行”切入，写成“难—心性—组织/制度—人生启示”的短文。</x:v>
      </x:c>
      <x:c r="J71" s="193" t="str">
        <x:v>第99回难簿明列</x:v>
      </x:c>
      <x:c r="K71" s="193" t="str">
        <x:v>一级证据：维基文库第99回；二级证据：对应回目待逐条补摘</x:v>
      </x:c>
      <x:c r="L71" s="193" t="str">
        <x:v>已据第99回难簿校核</x:v>
      </x:c>
      <x:c r="M71" s="193" t="str">
        <x:v>https://zh.wikisource.org/wiki/%E8%A5%BF%E9%81%8A%E8%A8%98/%E7%AC%AC099%E5%9B%9E</x:v>
      </x:c>
      <x:c r="N71" s="186"/>
      <x:c r="O71" s="186"/>
      <x:c r="P71" s="186"/>
      <x:c r="Q71" s="186"/>
      <x:c r="R71" s="186"/>
      <x:c r="S71" s="186"/>
      <x:c r="T71" s="186"/>
      <x:c r="U71" s="186"/>
      <x:c r="V71" s="186"/>
      <x:c r="W71" s="186"/>
      <x:c r="X71" s="186"/>
      <x:c r="Y71" s="186"/>
      <x:c r="Z71" s="186"/>
    </x:row>
    <x:row r="72">
      <x:c r="A72" s="193" t="n">
        <x:v>71</x:v>
      </x:c>
      <x:c r="B72" s="193" t="str">
        <x:v>隱霧山遇魔</x:v>
      </x:c>
      <x:c r="C72" s="193" t="str">
        <x:v>隐雾山遇魔</x:v>
      </x:c>
      <x:c r="D72" s="193" t="str">
        <x:v>第85—86回</x:v>
      </x:c>
      <x:c r="E72" s="193" t="str">
        <x:v>后半程国家治理与后台升级</x:v>
      </x:c>
      <x:c r="F72" s="193" t="str">
        <x:v>妖怪/后台</x:v>
      </x:c>
      <x:c r="G72" s="193" t="str">
        <x:v>南山大王/豹子精</x:v>
      </x:c>
      <x:c r="H72" s="193" t="str">
        <x:v>以第99回难簿为主证据，再与对应回目原文逐条复核。</x:v>
      </x:c>
      <x:c r="I72" s="193" t="str">
        <x:v>可从“隐雾山遇魔”切入，写成“难—心性—组织/制度—人生启示”的短文。</x:v>
      </x:c>
      <x:c r="J72" s="193" t="str">
        <x:v>第99回难簿明列</x:v>
      </x:c>
      <x:c r="K72" s="193" t="str">
        <x:v>一级证据：维基文库第99回；二级证据：对应回目待逐条补摘</x:v>
      </x:c>
      <x:c r="L72" s="193" t="str">
        <x:v>已据第99回难簿校核</x:v>
      </x:c>
      <x:c r="M72" s="193" t="str">
        <x:v>https://zh.wikisource.org/wiki/%E8%A5%BF%E9%81%8A%E8%A8%98/%E7%AC%AC099%E5%9B%9E</x:v>
      </x:c>
      <x:c r="N72" s="186"/>
      <x:c r="O72" s="186"/>
      <x:c r="P72" s="186"/>
      <x:c r="Q72" s="186"/>
      <x:c r="R72" s="186"/>
      <x:c r="S72" s="186"/>
      <x:c r="T72" s="186"/>
      <x:c r="U72" s="186"/>
      <x:c r="V72" s="186"/>
      <x:c r="W72" s="186"/>
      <x:c r="X72" s="186"/>
      <x:c r="Y72" s="186"/>
      <x:c r="Z72" s="186"/>
    </x:row>
    <x:row r="73">
      <x:c r="A73" s="193" t="n">
        <x:v>72</x:v>
      </x:c>
      <x:c r="B73" s="193" t="str">
        <x:v>鳳仙郡求雨</x:v>
      </x:c>
      <x:c r="C73" s="193" t="str">
        <x:v>凤仙郡求雨</x:v>
      </x:c>
      <x:c r="D73" s="193" t="str">
        <x:v>第87回</x:v>
      </x:c>
      <x:c r="E73" s="193" t="str">
        <x:v>后半程国家治理与后台升级</x:v>
      </x:c>
      <x:c r="F73" s="193" t="str">
        <x:v>环境/天灾/路阻</x:v>
      </x:c>
      <x:c r="G73" s="193" t="str">
        <x:v>凤仙郡侯、玉帝、雷部</x:v>
      </x:c>
      <x:c r="H73" s="193" t="str">
        <x:v>以第99回难簿为主证据，再与对应回目原文逐条复核。</x:v>
      </x:c>
      <x:c r="I73" s="193" t="str">
        <x:v>可从“凤仙郡求雨”切入，写成“难—心性—组织/制度—人生启示”的短文。</x:v>
      </x:c>
      <x:c r="J73" s="193" t="str">
        <x:v>第99回难簿明列</x:v>
      </x:c>
      <x:c r="K73" s="193" t="str">
        <x:v>一级证据：维基文库第99回；二级证据：对应回目待逐条补摘</x:v>
      </x:c>
      <x:c r="L73" s="193" t="str">
        <x:v>已据第99回难簿校核</x:v>
      </x:c>
      <x:c r="M73" s="193" t="str">
        <x:v>https://zh.wikisource.org/wiki/%E8%A5%BF%E9%81%8A%E8%A8%98/%E7%AC%AC099%E5%9B%9E</x:v>
      </x:c>
      <x:c r="N73" s="186"/>
      <x:c r="O73" s="186"/>
      <x:c r="P73" s="186"/>
      <x:c r="Q73" s="186"/>
      <x:c r="R73" s="186"/>
      <x:c r="S73" s="186"/>
      <x:c r="T73" s="186"/>
      <x:c r="U73" s="186"/>
      <x:c r="V73" s="186"/>
      <x:c r="W73" s="186"/>
      <x:c r="X73" s="186"/>
      <x:c r="Y73" s="186"/>
      <x:c r="Z73" s="186"/>
    </x:row>
    <x:row r="74">
      <x:c r="A74" s="193" t="n">
        <x:v>73</x:v>
      </x:c>
      <x:c r="B74" s="193" t="str">
        <x:v>失落兵器</x:v>
      </x:c>
      <x:c r="C74" s="193" t="str">
        <x:v>失落兵器</x:v>
      </x:c>
      <x:c r="D74" s="193" t="str">
        <x:v>第88—89回</x:v>
      </x:c>
      <x:c r="E74" s="193" t="str">
        <x:v>后半程国家治理与后台升级</x:v>
      </x:c>
      <x:c r="F74" s="193" t="str">
        <x:v>资源/法宝</x:v>
      </x:c>
      <x:c r="G74" s="193" t="str">
        <x:v>黄狮精、玉华州三王子</x:v>
      </x:c>
      <x:c r="H74" s="193" t="str">
        <x:v>关键资源一旦错配、被窃或失控，风险会高于普通武力冲突。</x:v>
      </x:c>
      <x:c r="I74" s="193" t="str">
        <x:v>可从“失落兵器”切入，写成“难—心性—组织/制度—人生启示”的短文。</x:v>
      </x:c>
      <x:c r="J74" s="193" t="str">
        <x:v>第99回难簿明列</x:v>
      </x:c>
      <x:c r="K74" s="193" t="str">
        <x:v>一级证据：维基文库第99回；二级证据：对应回目待逐条补摘</x:v>
      </x:c>
      <x:c r="L74" s="193" t="str">
        <x:v>已据第99回难簿校核</x:v>
      </x:c>
      <x:c r="M74" s="193" t="str">
        <x:v>https://zh.wikisource.org/wiki/%E8%A5%BF%E9%81%8A%E8%A8%98/%E7%AC%AC099%E5%9B%9E</x:v>
      </x:c>
      <x:c r="N74" s="186"/>
      <x:c r="O74" s="186"/>
      <x:c r="P74" s="186"/>
      <x:c r="Q74" s="186"/>
      <x:c r="R74" s="186"/>
      <x:c r="S74" s="186"/>
      <x:c r="T74" s="186"/>
      <x:c r="U74" s="186"/>
      <x:c r="V74" s="186"/>
      <x:c r="W74" s="186"/>
      <x:c r="X74" s="186"/>
      <x:c r="Y74" s="186"/>
      <x:c r="Z74" s="186"/>
    </x:row>
    <x:row r="75">
      <x:c r="A75" s="193" t="n">
        <x:v>74</x:v>
      </x:c>
      <x:c r="B75" s="193" t="str">
        <x:v>會慶釘鈀</x:v>
      </x:c>
      <x:c r="C75" s="193" t="str">
        <x:v>会庆钉钯</x:v>
      </x:c>
      <x:c r="D75" s="193" t="str">
        <x:v>第89回</x:v>
      </x:c>
      <x:c r="E75" s="193" t="str">
        <x:v>后半程国家治理与后台升级</x:v>
      </x:c>
      <x:c r="F75" s="193" t="str">
        <x:v>修行/归真</x:v>
      </x:c>
      <x:c r="G75" s="193" t="str">
        <x:v>唐僧师徒、护法诸神</x:v>
      </x:c>
      <x:c r="H75" s="193" t="str">
        <x:v>以第99回难簿为主证据，再与对应回目原文逐条复核。</x:v>
      </x:c>
      <x:c r="I75" s="193" t="str">
        <x:v>可从“会庆钉钯”切入，写成“难—心性—组织/制度—人生启示”的短文。</x:v>
      </x:c>
      <x:c r="J75" s="193" t="str">
        <x:v>第99回难簿明列</x:v>
      </x:c>
      <x:c r="K75" s="193" t="str">
        <x:v>一级证据：维基文库第99回；二级证据：对应回目待逐条补摘</x:v>
      </x:c>
      <x:c r="L75" s="193" t="str">
        <x:v>已据第99回难簿校核</x:v>
      </x:c>
      <x:c r="M75" s="193" t="str">
        <x:v>https://zh.wikisource.org/wiki/%E8%A5%BF%E9%81%8A%E8%A8%98/%E7%AC%AC099%E5%9B%9E</x:v>
      </x:c>
      <x:c r="N75" s="186"/>
      <x:c r="O75" s="186"/>
      <x:c r="P75" s="186"/>
      <x:c r="Q75" s="186"/>
      <x:c r="R75" s="186"/>
      <x:c r="S75" s="186"/>
      <x:c r="T75" s="186"/>
      <x:c r="U75" s="186"/>
      <x:c r="V75" s="186"/>
      <x:c r="W75" s="186"/>
      <x:c r="X75" s="186"/>
      <x:c r="Y75" s="186"/>
      <x:c r="Z75" s="186"/>
    </x:row>
    <x:row r="76">
      <x:c r="A76" s="193" t="n">
        <x:v>75</x:v>
      </x:c>
      <x:c r="B76" s="193" t="str">
        <x:v>竹節山遭難</x:v>
      </x:c>
      <x:c r="C76" s="193" t="str">
        <x:v>竹节山遭难</x:v>
      </x:c>
      <x:c r="D76" s="193" t="str">
        <x:v>第90回</x:v>
      </x:c>
      <x:c r="E76" s="193" t="str">
        <x:v>后半程国家治理与后台升级</x:v>
      </x:c>
      <x:c r="F76" s="193" t="str">
        <x:v>妖怪/后台</x:v>
      </x:c>
      <x:c r="G76" s="193" t="str">
        <x:v>九灵元圣、太乙救苦天尊</x:v>
      </x:c>
      <x:c r="H76" s="193" t="str">
        <x:v>以第99回难簿为主证据，再与对应回目原文逐条复核。</x:v>
      </x:c>
      <x:c r="I76" s="193" t="str">
        <x:v>可从“竹节山遭难”切入，写成“难—心性—组织/制度—人生启示”的短文。</x:v>
      </x:c>
      <x:c r="J76" s="193" t="str">
        <x:v>第99回难簿明列</x:v>
      </x:c>
      <x:c r="K76" s="193" t="str">
        <x:v>一级证据：维基文库第99回；二级证据：对应回目待逐条补摘</x:v>
      </x:c>
      <x:c r="L76" s="193" t="str">
        <x:v>已据第99回难簿校核</x:v>
      </x:c>
      <x:c r="M76" s="193" t="str">
        <x:v>https://zh.wikisource.org/wiki/%E8%A5%BF%E9%81%8A%E8%A8%98/%E7%AC%AC099%E5%9B%9E</x:v>
      </x:c>
      <x:c r="N76" s="186"/>
      <x:c r="O76" s="186"/>
      <x:c r="P76" s="186"/>
      <x:c r="Q76" s="186"/>
      <x:c r="R76" s="186"/>
      <x:c r="S76" s="186"/>
      <x:c r="T76" s="186"/>
      <x:c r="U76" s="186"/>
      <x:c r="V76" s="186"/>
      <x:c r="W76" s="186"/>
      <x:c r="X76" s="186"/>
      <x:c r="Y76" s="186"/>
      <x:c r="Z76" s="186"/>
    </x:row>
    <x:row r="77">
      <x:c r="A77" s="193" t="n">
        <x:v>76</x:v>
      </x:c>
      <x:c r="B77" s="193" t="str">
        <x:v>玄英洞受苦</x:v>
      </x:c>
      <x:c r="C77" s="193" t="str">
        <x:v>玄英洞受苦</x:v>
      </x:c>
      <x:c r="D77" s="193" t="str">
        <x:v>第91回</x:v>
      </x:c>
      <x:c r="E77" s="193" t="str">
        <x:v>临近灵山与收官归真</x:v>
      </x:c>
      <x:c r="F77" s="193" t="str">
        <x:v>妖怪/后台</x:v>
      </x:c>
      <x:c r="G77" s="193" t="str">
        <x:v>三犀牛精</x:v>
      </x:c>
      <x:c r="H77" s="193" t="str">
        <x:v>以第99回难簿为主证据，再与对应回目原文逐条复核。</x:v>
      </x:c>
      <x:c r="I77" s="193" t="str">
        <x:v>可从“玄英洞受苦”切入，写成“难—心性—组织/制度—人生启示”的短文。</x:v>
      </x:c>
      <x:c r="J77" s="193" t="str">
        <x:v>第99回难簿明列</x:v>
      </x:c>
      <x:c r="K77" s="193" t="str">
        <x:v>一级证据：维基文库第99回；二级证据：对应回目待逐条补摘</x:v>
      </x:c>
      <x:c r="L77" s="193" t="str">
        <x:v>已据第99回难簿校核</x:v>
      </x:c>
      <x:c r="M77" s="193" t="str">
        <x:v>https://zh.wikisource.org/wiki/%E8%A5%BF%E9%81%8A%E8%A8%98/%E7%AC%AC099%E5%9B%9E</x:v>
      </x:c>
      <x:c r="N77" s="186"/>
      <x:c r="O77" s="186"/>
      <x:c r="P77" s="186"/>
      <x:c r="Q77" s="186"/>
      <x:c r="R77" s="186"/>
      <x:c r="S77" s="186"/>
      <x:c r="T77" s="186"/>
      <x:c r="U77" s="186"/>
      <x:c r="V77" s="186"/>
      <x:c r="W77" s="186"/>
      <x:c r="X77" s="186"/>
      <x:c r="Y77" s="186"/>
      <x:c r="Z77" s="186"/>
    </x:row>
    <x:row r="78">
      <x:c r="A78" s="193" t="n">
        <x:v>77</x:v>
      </x:c>
      <x:c r="B78" s="193" t="str">
        <x:v>趕捉犀牛</x:v>
      </x:c>
      <x:c r="C78" s="193" t="str">
        <x:v>赶捉犀牛</x:v>
      </x:c>
      <x:c r="D78" s="193" t="str">
        <x:v>第92回</x:v>
      </x:c>
      <x:c r="E78" s="193" t="str">
        <x:v>临近灵山与收官归真</x:v>
      </x:c>
      <x:c r="F78" s="193" t="str">
        <x:v>妖怪/后台</x:v>
      </x:c>
      <x:c r="G78" s="193" t="str">
        <x:v>四木禽星、三犀牛精</x:v>
      </x:c>
      <x:c r="H78" s="193" t="str">
        <x:v>以第99回难簿为主证据，再与对应回目原文逐条复核。</x:v>
      </x:c>
      <x:c r="I78" s="193" t="str">
        <x:v>可从“赶捉犀牛”切入，写成“难—心性—组织/制度—人生启示”的短文。</x:v>
      </x:c>
      <x:c r="J78" s="193" t="str">
        <x:v>第99回难簿明列</x:v>
      </x:c>
      <x:c r="K78" s="193" t="str">
        <x:v>一级证据：维基文库第99回；二级证据：对应回目待逐条补摘</x:v>
      </x:c>
      <x:c r="L78" s="193" t="str">
        <x:v>已据第99回难簿校核</x:v>
      </x:c>
      <x:c r="M78" s="193" t="str">
        <x:v>https://zh.wikisource.org/wiki/%E8%A5%BF%E9%81%8A%E8%A8%98/%E7%AC%AC099%E5%9B%9E</x:v>
      </x:c>
      <x:c r="N78" s="186"/>
      <x:c r="O78" s="186"/>
      <x:c r="P78" s="186"/>
      <x:c r="Q78" s="186"/>
      <x:c r="R78" s="186"/>
      <x:c r="S78" s="186"/>
      <x:c r="T78" s="186"/>
      <x:c r="U78" s="186"/>
      <x:c r="V78" s="186"/>
      <x:c r="W78" s="186"/>
      <x:c r="X78" s="186"/>
      <x:c r="Y78" s="186"/>
      <x:c r="Z78" s="186"/>
    </x:row>
    <x:row r="79">
      <x:c r="A79" s="193" t="n">
        <x:v>78</x:v>
      </x:c>
      <x:c r="B79" s="193" t="str">
        <x:v>天竺招婚</x:v>
      </x:c>
      <x:c r="C79" s="193" t="str">
        <x:v>天竺招婚</x:v>
      </x:c>
      <x:c r="D79" s="193" t="str">
        <x:v>第93—95回</x:v>
      </x:c>
      <x:c r="E79" s="193" t="str">
        <x:v>临近灵山与收官归真</x:v>
      </x:c>
      <x:c r="F79" s="193" t="str">
        <x:v>国家/制度/王权</x:v>
      </x:c>
      <x:c r="G79" s="193" t="str">
        <x:v>玉兔精、太阴星君</x:v>
      </x:c>
      <x:c r="H79" s="193" t="str">
        <x:v>以第99回难簿为主证据，再与对应回目原文逐条复核。</x:v>
      </x:c>
      <x:c r="I79" s="193" t="str">
        <x:v>可从“天竺招婚”切入，写成“难—心性—组织/制度—人生启示”的短文。</x:v>
      </x:c>
      <x:c r="J79" s="193" t="str">
        <x:v>第99回难簿明列</x:v>
      </x:c>
      <x:c r="K79" s="193" t="str">
        <x:v>一级证据：维基文库第99回；二级证据：对应回目待逐条补摘</x:v>
      </x:c>
      <x:c r="L79" s="193" t="str">
        <x:v>已据第99回难簿校核</x:v>
      </x:c>
      <x:c r="M79" s="193" t="str">
        <x:v>https://zh.wikisource.org/wiki/%E8%A5%BF%E9%81%8A%E8%A8%98/%E7%AC%AC099%E5%9B%9E</x:v>
      </x:c>
      <x:c r="N79" s="186"/>
      <x:c r="O79" s="186"/>
      <x:c r="P79" s="186"/>
      <x:c r="Q79" s="186"/>
      <x:c r="R79" s="186"/>
      <x:c r="S79" s="186"/>
      <x:c r="T79" s="186"/>
      <x:c r="U79" s="186"/>
      <x:c r="V79" s="186"/>
      <x:c r="W79" s="186"/>
      <x:c r="X79" s="186"/>
      <x:c r="Y79" s="186"/>
      <x:c r="Z79" s="186"/>
    </x:row>
    <x:row r="80">
      <x:c r="A80" s="193" t="n">
        <x:v>79</x:v>
      </x:c>
      <x:c r="B80" s="193" t="str">
        <x:v>銅臺府監禁</x:v>
      </x:c>
      <x:c r="C80" s="193" t="str">
        <x:v>铜台府监禁</x:v>
      </x:c>
      <x:c r="D80" s="193" t="str">
        <x:v>第96—97回</x:v>
      </x:c>
      <x:c r="E80" s="193" t="str">
        <x:v>临近灵山与收官归真</x:v>
      </x:c>
      <x:c r="F80" s="193" t="str">
        <x:v>身世/冤案</x:v>
      </x:c>
      <x:c r="G80" s="193" t="str">
        <x:v>寇员外、强盗</x:v>
      </x:c>
      <x:c r="H80" s="193" t="str">
        <x:v>收官阶段的难不再只是降妖，而是成果质量、诚信、承诺兑现与归真圆满。</x:v>
      </x:c>
      <x:c r="I80" s="193" t="str">
        <x:v>可从“铜台府监禁”切入，写成“难—心性—组织/制度—人生启示”的短文。</x:v>
      </x:c>
      <x:c r="J80" s="193" t="str">
        <x:v>第99回难簿明列</x:v>
      </x:c>
      <x:c r="K80" s="193" t="str">
        <x:v>一级证据：维基文库第99回；二级证据：对应回目待逐条补摘</x:v>
      </x:c>
      <x:c r="L80" s="193" t="str">
        <x:v>已据第99回难簿校核</x:v>
      </x:c>
      <x:c r="M80" s="193" t="str">
        <x:v>https://zh.wikisource.org/wiki/%E8%A5%BF%E9%81%8A%E8%A8%98/%E7%AC%AC099%E5%9B%9E</x:v>
      </x:c>
      <x:c r="N80" s="186"/>
      <x:c r="O80" s="186"/>
      <x:c r="P80" s="186"/>
      <x:c r="Q80" s="186"/>
      <x:c r="R80" s="186"/>
      <x:c r="S80" s="186"/>
      <x:c r="T80" s="186"/>
      <x:c r="U80" s="186"/>
      <x:c r="V80" s="186"/>
      <x:c r="W80" s="186"/>
      <x:c r="X80" s="186"/>
      <x:c r="Y80" s="186"/>
      <x:c r="Z80" s="186"/>
    </x:row>
    <x:row r="81">
      <x:c r="A81" s="193" t="n">
        <x:v>80</x:v>
      </x:c>
      <x:c r="B81" s="193" t="str">
        <x:v>凌雲渡脫胎</x:v>
      </x:c>
      <x:c r="C81" s="193" t="str">
        <x:v>凌云渡脱胎</x:v>
      </x:c>
      <x:c r="D81" s="193" t="str">
        <x:v>第98回</x:v>
      </x:c>
      <x:c r="E81" s="193" t="str">
        <x:v>临近灵山与收官归真</x:v>
      </x:c>
      <x:c r="F81" s="193" t="str">
        <x:v>环境/天灾/路阻</x:v>
      </x:c>
      <x:c r="G81" s="193" t="str">
        <x:v>凌云渡、接引佛祖</x:v>
      </x:c>
      <x:c r="H81" s="193" t="str">
        <x:v>收官阶段的难不再只是降妖，而是成果质量、诚信、承诺兑现与归真圆满。</x:v>
      </x:c>
      <x:c r="I81" s="193" t="str">
        <x:v>可从“凌云渡脱胎”切入，写成“难—心性—组织/制度—人生启示”的短文。</x:v>
      </x:c>
      <x:c r="J81" s="193" t="str">
        <x:v>第99回难簿明列</x:v>
      </x:c>
      <x:c r="K81" s="193" t="str">
        <x:v>一级证据：维基文库第99回；二级证据：对应回目待逐条补摘</x:v>
      </x:c>
      <x:c r="L81" s="193" t="str">
        <x:v>已据第99回难簿校核</x:v>
      </x:c>
      <x:c r="M81" s="193" t="str">
        <x:v>https://zh.wikisource.org/wiki/%E8%A5%BF%E9%81%8A%E8%A8%98/%E7%AC%AC099%E5%9B%9E</x:v>
      </x:c>
      <x:c r="N81" s="186"/>
      <x:c r="O81" s="186"/>
      <x:c r="P81" s="186"/>
      <x:c r="Q81" s="186"/>
      <x:c r="R81" s="186"/>
      <x:c r="S81" s="186"/>
      <x:c r="T81" s="186"/>
      <x:c r="U81" s="186"/>
      <x:c r="V81" s="186"/>
      <x:c r="W81" s="186"/>
      <x:c r="X81" s="186"/>
      <x:c r="Y81" s="186"/>
      <x:c r="Z81" s="186"/>
    </x:row>
    <x:row r="82">
      <x:c r="A82" s="193" t="n">
        <x:v>81</x:v>
      </x:c>
      <x:c r="B82" s="193" t="str">
        <x:v>老黿沉經補難</x:v>
      </x:c>
      <x:c r="C82" s="193" t="str">
        <x:v>老鼋沉经补难</x:v>
      </x:c>
      <x:c r="D82" s="193" t="str">
        <x:v>第99回</x:v>
      </x:c>
      <x:c r="E82" s="193" t="str">
        <x:v>临近灵山与收官归真</x:v>
      </x:c>
      <x:c r="F82" s="193" t="str">
        <x:v>修行/归真</x:v>
      </x:c>
      <x:c r="G82" s="193" t="str">
        <x:v>唐僧师徒、护法诸神</x:v>
      </x:c>
      <x:c r="H82" s="193" t="str">
        <x:v>收官阶段的难不再只是降妖，而是成果质量、诚信、承诺兑现与归真圆满。</x:v>
      </x:c>
      <x:c r="I82" s="193" t="str">
        <x:v>可从“老鼋沉经补难”切入，写成“难—心性—组织/制度—人生启示”的短文。</x:v>
      </x:c>
      <x:c r="J82" s="193" t="str">
        <x:v>第99回“还少一难”后补足九九归真</x:v>
      </x:c>
      <x:c r="K82" s="193" t="str">
        <x:v>一级证据：维基文库第99回；二级证据：对应回目待逐条补摘</x:v>
      </x:c>
      <x:c r="L82" s="193" t="str">
        <x:v>已据第99回补难情节校核</x:v>
      </x:c>
      <x:c r="M82" s="193" t="str">
        <x:v>https://zh.wikisource.org/wiki/%E8%A5%BF%E9%81%8A%E8%A8%98/%E7%AC%AC099%E5%9B%9E</x:v>
      </x:c>
      <x:c r="N82" s="186"/>
      <x:c r="O82" s="186"/>
      <x:c r="P82" s="186"/>
      <x:c r="Q82" s="186"/>
      <x:c r="R82" s="186"/>
      <x:c r="S82" s="186"/>
      <x:c r="T82" s="186"/>
      <x:c r="U82" s="186"/>
      <x:c r="V82" s="186"/>
      <x:c r="W82" s="186"/>
      <x:c r="X82" s="186"/>
      <x:c r="Y82" s="186"/>
      <x:c r="Z82" s="186"/>
    </x:row>
    <x:row r="83">
      <x:c r="A83" s="186"/>
      <x:c r="B83" s="186"/>
      <x:c r="C83" s="186"/>
      <x:c r="D83" s="186"/>
      <x:c r="E83" s="186"/>
      <x:c r="F83" s="186"/>
      <x:c r="G83" s="186"/>
      <x:c r="H83" s="186"/>
      <x:c r="I83" s="186"/>
      <x:c r="J83" s="186"/>
      <x:c r="K83" s="186"/>
      <x:c r="L83" s="186"/>
      <x:c r="M83" s="186"/>
      <x:c r="N83" s="186"/>
      <x:c r="O83" s="186"/>
      <x:c r="P83" s="186"/>
      <x:c r="Q83" s="186"/>
      <x:c r="R83" s="186"/>
      <x:c r="S83" s="186"/>
      <x:c r="T83" s="186"/>
      <x:c r="U83" s="186"/>
      <x:c r="V83" s="186"/>
      <x:c r="W83" s="186"/>
      <x:c r="X83" s="186"/>
      <x:c r="Y83" s="186"/>
      <x:c r="Z83" s="186"/>
    </x:row>
    <x:row r="84">
      <x:c r="A84" s="186"/>
      <x:c r="B84" s="186"/>
      <x:c r="C84" s="186"/>
      <x:c r="D84" s="186"/>
      <x:c r="E84" s="186"/>
      <x:c r="F84" s="186"/>
      <x:c r="G84" s="186"/>
      <x:c r="H84" s="186"/>
      <x:c r="I84" s="186"/>
      <x:c r="J84" s="186"/>
      <x:c r="K84" s="186"/>
      <x:c r="L84" s="186"/>
      <x:c r="M84" s="186"/>
      <x:c r="N84" s="186"/>
      <x:c r="O84" s="186"/>
      <x:c r="P84" s="186"/>
      <x:c r="Q84" s="186"/>
      <x:c r="R84" s="186"/>
      <x:c r="S84" s="186"/>
      <x:c r="T84" s="186"/>
      <x:c r="U84" s="186"/>
      <x:c r="V84" s="186"/>
      <x:c r="W84" s="186"/>
      <x:c r="X84" s="186"/>
      <x:c r="Y84" s="186"/>
      <x:c r="Z84" s="186"/>
    </x:row>
    <x:row r="85">
      <x:c r="A85" s="186"/>
      <x:c r="B85" s="186"/>
      <x:c r="C85" s="186"/>
      <x:c r="D85" s="186"/>
      <x:c r="E85" s="186"/>
      <x:c r="F85" s="186"/>
      <x:c r="G85" s="186"/>
      <x:c r="H85" s="186"/>
      <x:c r="I85" s="186"/>
      <x:c r="J85" s="186"/>
      <x:c r="K85" s="186"/>
      <x:c r="L85" s="186"/>
      <x:c r="M85" s="186"/>
      <x:c r="N85" s="186"/>
      <x:c r="O85" s="186"/>
      <x:c r="P85" s="186"/>
      <x:c r="Q85" s="186"/>
      <x:c r="R85" s="186"/>
      <x:c r="S85" s="186"/>
      <x:c r="T85" s="186"/>
      <x:c r="U85" s="186"/>
      <x:c r="V85" s="186"/>
      <x:c r="W85" s="186"/>
      <x:c r="X85" s="186"/>
      <x:c r="Y85" s="186"/>
      <x:c r="Z85" s="186"/>
    </x:row>
    <x:row r="86">
      <x:c r="A86" s="186"/>
      <x:c r="B86" s="186"/>
      <x:c r="C86" s="186"/>
      <x:c r="D86" s="186"/>
      <x:c r="E86" s="186"/>
      <x:c r="F86" s="186"/>
      <x:c r="G86" s="186"/>
      <x:c r="H86" s="186"/>
      <x:c r="I86" s="186"/>
      <x:c r="J86" s="186"/>
      <x:c r="K86" s="186"/>
      <x:c r="L86" s="186"/>
      <x:c r="M86" s="186"/>
      <x:c r="N86" s="186"/>
      <x:c r="O86" s="186"/>
      <x:c r="P86" s="186"/>
      <x:c r="Q86" s="186"/>
      <x:c r="R86" s="186"/>
      <x:c r="S86" s="186"/>
      <x:c r="T86" s="186"/>
      <x:c r="U86" s="186"/>
      <x:c r="V86" s="186"/>
      <x:c r="W86" s="186"/>
      <x:c r="X86" s="186"/>
      <x:c r="Y86" s="186"/>
      <x:c r="Z86" s="186"/>
    </x:row>
    <x:row r="87">
      <x:c r="A87" s="186"/>
      <x:c r="B87" s="186"/>
      <x:c r="C87" s="186"/>
      <x:c r="D87" s="186"/>
      <x:c r="E87" s="186"/>
      <x:c r="F87" s="186"/>
      <x:c r="G87" s="186"/>
      <x:c r="H87" s="186"/>
      <x:c r="I87" s="186"/>
      <x:c r="J87" s="186"/>
      <x:c r="K87" s="186"/>
      <x:c r="L87" s="186"/>
      <x:c r="M87" s="186"/>
      <x:c r="N87" s="186"/>
      <x:c r="O87" s="186"/>
      <x:c r="P87" s="186"/>
      <x:c r="Q87" s="186"/>
      <x:c r="R87" s="186"/>
      <x:c r="S87" s="186"/>
      <x:c r="T87" s="186"/>
      <x:c r="U87" s="186"/>
      <x:c r="V87" s="186"/>
      <x:c r="W87" s="186"/>
      <x:c r="X87" s="186"/>
      <x:c r="Y87" s="186"/>
      <x:c r="Z87" s="186"/>
    </x:row>
    <x:row r="88">
      <x:c r="A88" s="186"/>
      <x:c r="B88" s="186"/>
      <x:c r="C88" s="186"/>
      <x:c r="D88" s="186"/>
      <x:c r="E88" s="186"/>
      <x:c r="F88" s="186"/>
      <x:c r="G88" s="186"/>
      <x:c r="H88" s="186"/>
      <x:c r="I88" s="186"/>
      <x:c r="J88" s="186"/>
      <x:c r="K88" s="186"/>
      <x:c r="L88" s="186"/>
      <x:c r="M88" s="186"/>
      <x:c r="N88" s="186"/>
      <x:c r="O88" s="186"/>
      <x:c r="P88" s="186"/>
      <x:c r="Q88" s="186"/>
      <x:c r="R88" s="186"/>
      <x:c r="S88" s="186"/>
      <x:c r="T88" s="186"/>
      <x:c r="U88" s="186"/>
      <x:c r="V88" s="186"/>
      <x:c r="W88" s="186"/>
      <x:c r="X88" s="186"/>
      <x:c r="Y88" s="186"/>
      <x:c r="Z88" s="186"/>
    </x:row>
    <x:row r="89">
      <x:c r="A89" s="186"/>
      <x:c r="B89" s="186"/>
      <x:c r="C89" s="186"/>
      <x:c r="D89" s="186"/>
      <x:c r="E89" s="186"/>
      <x:c r="F89" s="186"/>
      <x:c r="G89" s="186"/>
      <x:c r="H89" s="186"/>
      <x:c r="I89" s="186"/>
      <x:c r="J89" s="186"/>
      <x:c r="K89" s="186"/>
      <x:c r="L89" s="186"/>
      <x:c r="M89" s="186"/>
      <x:c r="N89" s="186"/>
      <x:c r="O89" s="186"/>
      <x:c r="P89" s="186"/>
      <x:c r="Q89" s="186"/>
      <x:c r="R89" s="186"/>
      <x:c r="S89" s="186"/>
      <x:c r="T89" s="186"/>
      <x:c r="U89" s="186"/>
      <x:c r="V89" s="186"/>
      <x:c r="W89" s="186"/>
      <x:c r="X89" s="186"/>
      <x:c r="Y89" s="186"/>
      <x:c r="Z89" s="186"/>
    </x:row>
    <x:row r="90">
      <x:c r="A90" s="186"/>
      <x:c r="B90" s="186"/>
      <x:c r="C90" s="186"/>
      <x:c r="D90" s="186"/>
      <x:c r="E90" s="186"/>
      <x:c r="F90" s="186"/>
      <x:c r="G90" s="186"/>
      <x:c r="H90" s="186"/>
      <x:c r="I90" s="186"/>
      <x:c r="J90" s="186"/>
      <x:c r="K90" s="186"/>
      <x:c r="L90" s="186"/>
      <x:c r="M90" s="186"/>
      <x:c r="N90" s="186"/>
      <x:c r="O90" s="186"/>
      <x:c r="P90" s="186"/>
      <x:c r="Q90" s="186"/>
      <x:c r="R90" s="186"/>
      <x:c r="S90" s="186"/>
      <x:c r="T90" s="186"/>
      <x:c r="U90" s="186"/>
      <x:c r="V90" s="186"/>
      <x:c r="W90" s="186"/>
      <x:c r="X90" s="186"/>
      <x:c r="Y90" s="186"/>
      <x:c r="Z90" s="186"/>
    </x:row>
    <x:row r="91">
      <x:c r="A91" s="186"/>
      <x:c r="B91" s="186"/>
      <x:c r="C91" s="186"/>
      <x:c r="D91" s="186"/>
      <x:c r="E91" s="186"/>
      <x:c r="F91" s="186"/>
      <x:c r="G91" s="186"/>
      <x:c r="H91" s="186"/>
      <x:c r="I91" s="186"/>
      <x:c r="J91" s="186"/>
      <x:c r="K91" s="186"/>
      <x:c r="L91" s="186"/>
      <x:c r="M91" s="186"/>
      <x:c r="N91" s="186"/>
      <x:c r="O91" s="186"/>
      <x:c r="P91" s="186"/>
      <x:c r="Q91" s="186"/>
      <x:c r="R91" s="186"/>
      <x:c r="S91" s="186"/>
      <x:c r="T91" s="186"/>
      <x:c r="U91" s="186"/>
      <x:c r="V91" s="186"/>
      <x:c r="W91" s="186"/>
      <x:c r="X91" s="186"/>
      <x:c r="Y91" s="186"/>
      <x:c r="Z91" s="186"/>
    </x:row>
    <x:row r="92">
      <x:c r="A92" s="186"/>
      <x:c r="B92" s="186"/>
      <x:c r="C92" s="186"/>
      <x:c r="D92" s="186"/>
      <x:c r="E92" s="186"/>
      <x:c r="F92" s="186"/>
      <x:c r="G92" s="186"/>
      <x:c r="H92" s="186"/>
      <x:c r="I92" s="186"/>
      <x:c r="J92" s="186"/>
      <x:c r="K92" s="186"/>
      <x:c r="L92" s="186"/>
      <x:c r="M92" s="186"/>
      <x:c r="N92" s="186"/>
      <x:c r="O92" s="186"/>
      <x:c r="P92" s="186"/>
      <x:c r="Q92" s="186"/>
      <x:c r="R92" s="186"/>
      <x:c r="S92" s="186"/>
      <x:c r="T92" s="186"/>
      <x:c r="U92" s="186"/>
      <x:c r="V92" s="186"/>
      <x:c r="W92" s="186"/>
      <x:c r="X92" s="186"/>
      <x:c r="Y92" s="186"/>
      <x:c r="Z92" s="186"/>
    </x:row>
    <x:row r="93">
      <x:c r="A93" s="186"/>
      <x:c r="B93" s="186"/>
      <x:c r="C93" s="186"/>
      <x:c r="D93" s="186"/>
      <x:c r="E93" s="186"/>
      <x:c r="F93" s="186"/>
      <x:c r="G93" s="186"/>
      <x:c r="H93" s="186"/>
      <x:c r="I93" s="186"/>
      <x:c r="J93" s="186"/>
      <x:c r="K93" s="186"/>
      <x:c r="L93" s="186"/>
      <x:c r="M93" s="186"/>
      <x:c r="N93" s="186"/>
      <x:c r="O93" s="186"/>
      <x:c r="P93" s="186"/>
      <x:c r="Q93" s="186"/>
      <x:c r="R93" s="186"/>
      <x:c r="S93" s="186"/>
      <x:c r="T93" s="186"/>
      <x:c r="U93" s="186"/>
      <x:c r="V93" s="186"/>
      <x:c r="W93" s="186"/>
      <x:c r="X93" s="186"/>
      <x:c r="Y93" s="186"/>
      <x:c r="Z93" s="186"/>
    </x:row>
    <x:row r="94">
      <x:c r="A94" s="186"/>
      <x:c r="B94" s="186"/>
      <x:c r="C94" s="186"/>
      <x:c r="D94" s="186"/>
      <x:c r="E94" s="186"/>
      <x:c r="F94" s="186"/>
      <x:c r="G94" s="186"/>
      <x:c r="H94" s="186"/>
      <x:c r="I94" s="186"/>
      <x:c r="J94" s="186"/>
      <x:c r="K94" s="186"/>
      <x:c r="L94" s="186"/>
      <x:c r="M94" s="186"/>
      <x:c r="N94" s="186"/>
      <x:c r="O94" s="186"/>
      <x:c r="P94" s="186"/>
      <x:c r="Q94" s="186"/>
      <x:c r="R94" s="186"/>
      <x:c r="S94" s="186"/>
      <x:c r="T94" s="186"/>
      <x:c r="U94" s="186"/>
      <x:c r="V94" s="186"/>
      <x:c r="W94" s="186"/>
      <x:c r="X94" s="186"/>
      <x:c r="Y94" s="186"/>
      <x:c r="Z94" s="186"/>
    </x:row>
    <x:row r="95">
      <x:c r="A95" s="186"/>
      <x:c r="B95" s="186"/>
      <x:c r="C95" s="186"/>
      <x:c r="D95" s="186"/>
      <x:c r="E95" s="186"/>
      <x:c r="F95" s="186"/>
      <x:c r="G95" s="186"/>
      <x:c r="H95" s="186"/>
      <x:c r="I95" s="186"/>
      <x:c r="J95" s="186"/>
      <x:c r="K95" s="186"/>
      <x:c r="L95" s="186"/>
      <x:c r="M95" s="186"/>
      <x:c r="N95" s="186"/>
      <x:c r="O95" s="186"/>
      <x:c r="P95" s="186"/>
      <x:c r="Q95" s="186"/>
      <x:c r="R95" s="186"/>
      <x:c r="S95" s="186"/>
      <x:c r="T95" s="186"/>
      <x:c r="U95" s="186"/>
      <x:c r="V95" s="186"/>
      <x:c r="W95" s="186"/>
      <x:c r="X95" s="186"/>
      <x:c r="Y95" s="186"/>
      <x:c r="Z95" s="186"/>
    </x:row>
    <x:row r="96">
      <x:c r="A96" s="186"/>
      <x:c r="B96" s="186"/>
      <x:c r="C96" s="186"/>
      <x:c r="D96" s="186"/>
      <x:c r="E96" s="186"/>
      <x:c r="F96" s="186"/>
      <x:c r="G96" s="186"/>
      <x:c r="H96" s="186"/>
      <x:c r="I96" s="186"/>
      <x:c r="J96" s="186"/>
      <x:c r="K96" s="186"/>
      <x:c r="L96" s="186"/>
      <x:c r="M96" s="186"/>
      <x:c r="N96" s="186"/>
      <x:c r="O96" s="186"/>
      <x:c r="P96" s="186"/>
      <x:c r="Q96" s="186"/>
      <x:c r="R96" s="186"/>
      <x:c r="S96" s="186"/>
      <x:c r="T96" s="186"/>
      <x:c r="U96" s="186"/>
      <x:c r="V96" s="186"/>
      <x:c r="W96" s="186"/>
      <x:c r="X96" s="186"/>
      <x:c r="Y96" s="186"/>
      <x:c r="Z96" s="186"/>
    </x:row>
    <x:row r="97">
      <x:c r="A97" s="186"/>
      <x:c r="B97" s="186"/>
      <x:c r="C97" s="186"/>
      <x:c r="D97" s="186"/>
      <x:c r="E97" s="186"/>
      <x:c r="F97" s="186"/>
      <x:c r="G97" s="186"/>
      <x:c r="H97" s="186"/>
      <x:c r="I97" s="186"/>
      <x:c r="J97" s="186"/>
      <x:c r="K97" s="186"/>
      <x:c r="L97" s="186"/>
      <x:c r="M97" s="186"/>
      <x:c r="N97" s="186"/>
      <x:c r="O97" s="186"/>
      <x:c r="P97" s="186"/>
      <x:c r="Q97" s="186"/>
      <x:c r="R97" s="186"/>
      <x:c r="S97" s="186"/>
      <x:c r="T97" s="186"/>
      <x:c r="U97" s="186"/>
      <x:c r="V97" s="186"/>
      <x:c r="W97" s="186"/>
      <x:c r="X97" s="186"/>
      <x:c r="Y97" s="186"/>
      <x:c r="Z97" s="186"/>
    </x:row>
    <x:row r="98">
      <x:c r="A98" s="186"/>
      <x:c r="B98" s="186"/>
      <x:c r="C98" s="186"/>
      <x:c r="D98" s="186"/>
      <x:c r="E98" s="186"/>
      <x:c r="F98" s="186"/>
      <x:c r="G98" s="186"/>
      <x:c r="H98" s="186"/>
      <x:c r="I98" s="186"/>
      <x:c r="J98" s="186"/>
      <x:c r="K98" s="186"/>
      <x:c r="L98" s="186"/>
      <x:c r="M98" s="186"/>
      <x:c r="N98" s="186"/>
      <x:c r="O98" s="186"/>
      <x:c r="P98" s="186"/>
      <x:c r="Q98" s="186"/>
      <x:c r="R98" s="186"/>
      <x:c r="S98" s="186"/>
      <x:c r="T98" s="186"/>
      <x:c r="U98" s="186"/>
      <x:c r="V98" s="186"/>
      <x:c r="W98" s="186"/>
      <x:c r="X98" s="186"/>
      <x:c r="Y98" s="186"/>
      <x:c r="Z98" s="186"/>
    </x:row>
    <x:row r="99">
      <x:c r="A99" s="186"/>
      <x:c r="B99" s="186"/>
      <x:c r="C99" s="186"/>
      <x:c r="D99" s="186"/>
      <x:c r="E99" s="186"/>
      <x:c r="F99" s="186"/>
      <x:c r="G99" s="186"/>
      <x:c r="H99" s="186"/>
      <x:c r="I99" s="186"/>
      <x:c r="J99" s="186"/>
      <x:c r="K99" s="186"/>
      <x:c r="L99" s="186"/>
      <x:c r="M99" s="186"/>
      <x:c r="N99" s="186"/>
      <x:c r="O99" s="186"/>
      <x:c r="P99" s="186"/>
      <x:c r="Q99" s="186"/>
      <x:c r="R99" s="186"/>
      <x:c r="S99" s="186"/>
      <x:c r="T99" s="186"/>
      <x:c r="U99" s="186"/>
      <x:c r="V99" s="186"/>
      <x:c r="W99" s="186"/>
      <x:c r="X99" s="186"/>
      <x:c r="Y99" s="186"/>
      <x:c r="Z99" s="186"/>
    </x:row>
    <x:row r="100">
      <x:c r="A100" s="186"/>
      <x:c r="B100" s="186"/>
      <x:c r="C100" s="186"/>
      <x:c r="D100" s="186"/>
      <x:c r="E100" s="186"/>
      <x:c r="F100" s="186"/>
      <x:c r="G100" s="186"/>
      <x:c r="H100" s="186"/>
      <x:c r="I100" s="186"/>
      <x:c r="J100" s="186"/>
      <x:c r="K100" s="186"/>
      <x:c r="L100" s="186"/>
      <x:c r="M100" s="186"/>
      <x:c r="N100" s="186"/>
      <x:c r="O100" s="186"/>
      <x:c r="P100" s="186"/>
      <x:c r="Q100" s="186"/>
      <x:c r="R100" s="186"/>
      <x:c r="S100" s="186"/>
      <x:c r="T100" s="186"/>
      <x:c r="U100" s="186"/>
      <x:c r="V100" s="186"/>
      <x:c r="W100" s="186"/>
      <x:c r="X100" s="186"/>
      <x:c r="Y100" s="186"/>
      <x:c r="Z100" s="186"/>
    </x:row>
    <x:row r="101">
      <x:c r="A101" s="186"/>
      <x:c r="B101" s="186"/>
      <x:c r="C101" s="186"/>
      <x:c r="D101" s="186"/>
      <x:c r="E101" s="186"/>
      <x:c r="F101" s="186"/>
      <x:c r="G101" s="186"/>
      <x:c r="H101" s="186"/>
      <x:c r="I101" s="186"/>
      <x:c r="J101" s="186"/>
      <x:c r="K101" s="186"/>
      <x:c r="L101" s="186"/>
      <x:c r="M101" s="186"/>
      <x:c r="N101" s="186"/>
      <x:c r="O101" s="186"/>
      <x:c r="P101" s="186"/>
      <x:c r="Q101" s="186"/>
      <x:c r="R101" s="186"/>
      <x:c r="S101" s="186"/>
      <x:c r="T101" s="186"/>
      <x:c r="U101" s="186"/>
      <x:c r="V101" s="186"/>
      <x:c r="W101" s="186"/>
      <x:c r="X101" s="186"/>
      <x:c r="Y101" s="186"/>
      <x:c r="Z101" s="186"/>
    </x:row>
    <x:row r="102">
      <x:c r="A102" s="186"/>
      <x:c r="B102" s="186"/>
      <x:c r="C102" s="186"/>
      <x:c r="D102" s="186"/>
      <x:c r="E102" s="186"/>
      <x:c r="F102" s="186"/>
      <x:c r="G102" s="186"/>
      <x:c r="H102" s="186"/>
      <x:c r="I102" s="186"/>
      <x:c r="J102" s="186"/>
      <x:c r="K102" s="186"/>
      <x:c r="L102" s="186"/>
      <x:c r="M102" s="186"/>
      <x:c r="N102" s="186"/>
      <x:c r="O102" s="186"/>
      <x:c r="P102" s="186"/>
      <x:c r="Q102" s="186"/>
      <x:c r="R102" s="186"/>
      <x:c r="S102" s="186"/>
      <x:c r="T102" s="186"/>
      <x:c r="U102" s="186"/>
      <x:c r="V102" s="186"/>
      <x:c r="W102" s="186"/>
      <x:c r="X102" s="186"/>
      <x:c r="Y102" s="186"/>
      <x:c r="Z102" s="186"/>
    </x:row>
    <x:row r="103">
      <x:c r="A103" s="186"/>
      <x:c r="B103" s="186"/>
      <x:c r="C103" s="186"/>
      <x:c r="D103" s="186"/>
      <x:c r="E103" s="186"/>
      <x:c r="F103" s="186"/>
      <x:c r="G103" s="186"/>
      <x:c r="H103" s="186"/>
      <x:c r="I103" s="186"/>
      <x:c r="J103" s="186"/>
      <x:c r="K103" s="186"/>
      <x:c r="L103" s="186"/>
      <x:c r="M103" s="186"/>
      <x:c r="N103" s="186"/>
      <x:c r="O103" s="186"/>
      <x:c r="P103" s="186"/>
      <x:c r="Q103" s="186"/>
      <x:c r="R103" s="186"/>
      <x:c r="S103" s="186"/>
      <x:c r="T103" s="186"/>
      <x:c r="U103" s="186"/>
      <x:c r="V103" s="186"/>
      <x:c r="W103" s="186"/>
      <x:c r="X103" s="186"/>
      <x:c r="Y103" s="186"/>
      <x:c r="Z103" s="186"/>
    </x:row>
    <x:row r="104">
      <x:c r="A104" s="186"/>
      <x:c r="B104" s="186"/>
      <x:c r="C104" s="186"/>
      <x:c r="D104" s="186"/>
      <x:c r="E104" s="186"/>
      <x:c r="F104" s="186"/>
      <x:c r="G104" s="186"/>
      <x:c r="H104" s="186"/>
      <x:c r="I104" s="186"/>
      <x:c r="J104" s="186"/>
      <x:c r="K104" s="186"/>
      <x:c r="L104" s="186"/>
      <x:c r="M104" s="186"/>
      <x:c r="N104" s="186"/>
      <x:c r="O104" s="186"/>
      <x:c r="P104" s="186"/>
      <x:c r="Q104" s="186"/>
      <x:c r="R104" s="186"/>
      <x:c r="S104" s="186"/>
      <x:c r="T104" s="186"/>
      <x:c r="U104" s="186"/>
      <x:c r="V104" s="186"/>
      <x:c r="W104" s="186"/>
      <x:c r="X104" s="186"/>
      <x:c r="Y104" s="186"/>
      <x:c r="Z104" s="186"/>
    </x:row>
    <x:row r="105">
      <x:c r="A105" s="186"/>
      <x:c r="B105" s="186"/>
      <x:c r="C105" s="186"/>
      <x:c r="D105" s="186"/>
      <x:c r="E105" s="186"/>
      <x:c r="F105" s="186"/>
      <x:c r="G105" s="186"/>
      <x:c r="H105" s="186"/>
      <x:c r="I105" s="186"/>
      <x:c r="J105" s="186"/>
      <x:c r="K105" s="186"/>
      <x:c r="L105" s="186"/>
      <x:c r="M105" s="186"/>
      <x:c r="N105" s="186"/>
      <x:c r="O105" s="186"/>
      <x:c r="P105" s="186"/>
      <x:c r="Q105" s="186"/>
      <x:c r="R105" s="186"/>
      <x:c r="S105" s="186"/>
      <x:c r="T105" s="186"/>
      <x:c r="U105" s="186"/>
      <x:c r="V105" s="186"/>
      <x:c r="W105" s="186"/>
      <x:c r="X105" s="186"/>
      <x:c r="Y105" s="186"/>
      <x:c r="Z105" s="186"/>
    </x:row>
    <x:row r="106">
      <x:c r="A106" s="186"/>
      <x:c r="B106" s="186"/>
      <x:c r="C106" s="186"/>
      <x:c r="D106" s="186"/>
      <x:c r="E106" s="186"/>
      <x:c r="F106" s="186"/>
      <x:c r="G106" s="186"/>
      <x:c r="H106" s="186"/>
      <x:c r="I106" s="186"/>
      <x:c r="J106" s="186"/>
      <x:c r="K106" s="186"/>
      <x:c r="L106" s="186"/>
      <x:c r="M106" s="186"/>
      <x:c r="N106" s="186"/>
      <x:c r="O106" s="186"/>
      <x:c r="P106" s="186"/>
      <x:c r="Q106" s="186"/>
      <x:c r="R106" s="186"/>
      <x:c r="S106" s="186"/>
      <x:c r="T106" s="186"/>
      <x:c r="U106" s="186"/>
      <x:c r="V106" s="186"/>
      <x:c r="W106" s="186"/>
      <x:c r="X106" s="186"/>
      <x:c r="Y106" s="186"/>
      <x:c r="Z106" s="186"/>
    </x:row>
    <x:row r="107">
      <x:c r="A107" s="186"/>
      <x:c r="B107" s="186"/>
      <x:c r="C107" s="186"/>
      <x:c r="D107" s="186"/>
      <x:c r="E107" s="186"/>
      <x:c r="F107" s="186"/>
      <x:c r="G107" s="186"/>
      <x:c r="H107" s="186"/>
      <x:c r="I107" s="186"/>
      <x:c r="J107" s="186"/>
      <x:c r="K107" s="186"/>
      <x:c r="L107" s="186"/>
      <x:c r="M107" s="186"/>
      <x:c r="N107" s="186"/>
      <x:c r="O107" s="186"/>
      <x:c r="P107" s="186"/>
      <x:c r="Q107" s="186"/>
      <x:c r="R107" s="186"/>
      <x:c r="S107" s="186"/>
      <x:c r="T107" s="186"/>
      <x:c r="U107" s="186"/>
      <x:c r="V107" s="186"/>
      <x:c r="W107" s="186"/>
      <x:c r="X107" s="186"/>
      <x:c r="Y107" s="186"/>
      <x:c r="Z107" s="186"/>
    </x:row>
    <x:row r="108">
      <x:c r="A108" s="186"/>
      <x:c r="B108" s="186"/>
      <x:c r="C108" s="186"/>
      <x:c r="D108" s="186"/>
      <x:c r="E108" s="186"/>
      <x:c r="F108" s="186"/>
      <x:c r="G108" s="186"/>
      <x:c r="H108" s="186"/>
      <x:c r="I108" s="186"/>
      <x:c r="J108" s="186"/>
      <x:c r="K108" s="186"/>
      <x:c r="L108" s="186"/>
      <x:c r="M108" s="186"/>
      <x:c r="N108" s="186"/>
      <x:c r="O108" s="186"/>
      <x:c r="P108" s="186"/>
      <x:c r="Q108" s="186"/>
      <x:c r="R108" s="186"/>
      <x:c r="S108" s="186"/>
      <x:c r="T108" s="186"/>
      <x:c r="U108" s="186"/>
      <x:c r="V108" s="186"/>
      <x:c r="W108" s="186"/>
      <x:c r="X108" s="186"/>
      <x:c r="Y108" s="186"/>
      <x:c r="Z108" s="186"/>
    </x:row>
    <x:row r="109">
      <x:c r="A109" s="186"/>
      <x:c r="B109" s="186"/>
      <x:c r="C109" s="186"/>
      <x:c r="D109" s="186"/>
      <x:c r="E109" s="186"/>
      <x:c r="F109" s="186"/>
      <x:c r="G109" s="186"/>
      <x:c r="H109" s="186"/>
      <x:c r="I109" s="186"/>
      <x:c r="J109" s="186"/>
      <x:c r="K109" s="186"/>
      <x:c r="L109" s="186"/>
      <x:c r="M109" s="186"/>
      <x:c r="N109" s="186"/>
      <x:c r="O109" s="186"/>
      <x:c r="P109" s="186"/>
      <x:c r="Q109" s="186"/>
      <x:c r="R109" s="186"/>
      <x:c r="S109" s="186"/>
      <x:c r="T109" s="186"/>
      <x:c r="U109" s="186"/>
      <x:c r="V109" s="186"/>
      <x:c r="W109" s="186"/>
      <x:c r="X109" s="186"/>
      <x:c r="Y109" s="186"/>
      <x:c r="Z109" s="186"/>
    </x:row>
    <x:row r="110">
      <x:c r="A110" s="186"/>
      <x:c r="B110" s="186"/>
      <x:c r="C110" s="186"/>
      <x:c r="D110" s="186"/>
      <x:c r="E110" s="186"/>
      <x:c r="F110" s="186"/>
      <x:c r="G110" s="186"/>
      <x:c r="H110" s="186"/>
      <x:c r="I110" s="186"/>
      <x:c r="J110" s="186"/>
      <x:c r="K110" s="186"/>
      <x:c r="L110" s="186"/>
      <x:c r="M110" s="186"/>
      <x:c r="N110" s="186"/>
      <x:c r="O110" s="186"/>
      <x:c r="P110" s="186"/>
      <x:c r="Q110" s="186"/>
      <x:c r="R110" s="186"/>
      <x:c r="S110" s="186"/>
      <x:c r="T110" s="186"/>
      <x:c r="U110" s="186"/>
      <x:c r="V110" s="186"/>
      <x:c r="W110" s="186"/>
      <x:c r="X110" s="186"/>
      <x:c r="Y110" s="186"/>
      <x:c r="Z110" s="186"/>
    </x:row>
    <x:row r="111">
      <x:c r="A111" s="186"/>
      <x:c r="B111" s="186"/>
      <x:c r="C111" s="186"/>
      <x:c r="D111" s="186"/>
      <x:c r="E111" s="186"/>
      <x:c r="F111" s="186"/>
      <x:c r="G111" s="186"/>
      <x:c r="H111" s="186"/>
      <x:c r="I111" s="186"/>
      <x:c r="J111" s="186"/>
      <x:c r="K111" s="186"/>
      <x:c r="L111" s="186"/>
      <x:c r="M111" s="186"/>
      <x:c r="N111" s="186"/>
      <x:c r="O111" s="186"/>
      <x:c r="P111" s="186"/>
      <x:c r="Q111" s="186"/>
      <x:c r="R111" s="186"/>
      <x:c r="S111" s="186"/>
      <x:c r="T111" s="186"/>
      <x:c r="U111" s="186"/>
      <x:c r="V111" s="186"/>
      <x:c r="W111" s="186"/>
      <x:c r="X111" s="186"/>
      <x:c r="Y111" s="186"/>
      <x:c r="Z111" s="186"/>
    </x:row>
    <x:row r="112">
      <x:c r="A112" s="186"/>
      <x:c r="B112" s="186"/>
      <x:c r="C112" s="186"/>
      <x:c r="D112" s="186"/>
      <x:c r="E112" s="186"/>
      <x:c r="F112" s="186"/>
      <x:c r="G112" s="186"/>
      <x:c r="H112" s="186"/>
      <x:c r="I112" s="186"/>
      <x:c r="J112" s="186"/>
      <x:c r="K112" s="186"/>
      <x:c r="L112" s="186"/>
      <x:c r="M112" s="186"/>
      <x:c r="N112" s="186"/>
      <x:c r="O112" s="186"/>
      <x:c r="P112" s="186"/>
      <x:c r="Q112" s="186"/>
      <x:c r="R112" s="186"/>
      <x:c r="S112" s="186"/>
      <x:c r="T112" s="186"/>
      <x:c r="U112" s="186"/>
      <x:c r="V112" s="186"/>
      <x:c r="W112" s="186"/>
      <x:c r="X112" s="186"/>
      <x:c r="Y112" s="186"/>
      <x:c r="Z112" s="186"/>
    </x:row>
    <x:row r="113">
      <x:c r="A113" s="186"/>
      <x:c r="B113" s="186"/>
      <x:c r="C113" s="186"/>
      <x:c r="D113" s="186"/>
      <x:c r="E113" s="186"/>
      <x:c r="F113" s="186"/>
      <x:c r="G113" s="186"/>
      <x:c r="H113" s="186"/>
      <x:c r="I113" s="186"/>
      <x:c r="J113" s="186"/>
      <x:c r="K113" s="186"/>
      <x:c r="L113" s="186"/>
      <x:c r="M113" s="186"/>
      <x:c r="N113" s="186"/>
      <x:c r="O113" s="186"/>
      <x:c r="P113" s="186"/>
      <x:c r="Q113" s="186"/>
      <x:c r="R113" s="186"/>
      <x:c r="S113" s="186"/>
      <x:c r="T113" s="186"/>
      <x:c r="U113" s="186"/>
      <x:c r="V113" s="186"/>
      <x:c r="W113" s="186"/>
      <x:c r="X113" s="186"/>
      <x:c r="Y113" s="186"/>
      <x:c r="Z113" s="186"/>
    </x:row>
    <x:row r="114">
      <x:c r="A114" s="186"/>
      <x:c r="B114" s="186"/>
      <x:c r="C114" s="186"/>
      <x:c r="D114" s="186"/>
      <x:c r="E114" s="186"/>
      <x:c r="F114" s="186"/>
      <x:c r="G114" s="186"/>
      <x:c r="H114" s="186"/>
      <x:c r="I114" s="186"/>
      <x:c r="J114" s="186"/>
      <x:c r="K114" s="186"/>
      <x:c r="L114" s="186"/>
      <x:c r="M114" s="186"/>
      <x:c r="N114" s="186"/>
      <x:c r="O114" s="186"/>
      <x:c r="P114" s="186"/>
      <x:c r="Q114" s="186"/>
      <x:c r="R114" s="186"/>
      <x:c r="S114" s="186"/>
      <x:c r="T114" s="186"/>
      <x:c r="U114" s="186"/>
      <x:c r="V114" s="186"/>
      <x:c r="W114" s="186"/>
      <x:c r="X114" s="186"/>
      <x:c r="Y114" s="186"/>
      <x:c r="Z114" s="186"/>
    </x:row>
    <x:row r="115">
      <x:c r="A115" s="186"/>
      <x:c r="B115" s="186"/>
      <x:c r="C115" s="186"/>
      <x:c r="D115" s="186"/>
      <x:c r="E115" s="186"/>
      <x:c r="F115" s="186"/>
      <x:c r="G115" s="186"/>
      <x:c r="H115" s="186"/>
      <x:c r="I115" s="186"/>
      <x:c r="J115" s="186"/>
      <x:c r="K115" s="186"/>
      <x:c r="L115" s="186"/>
      <x:c r="M115" s="186"/>
      <x:c r="N115" s="186"/>
      <x:c r="O115" s="186"/>
      <x:c r="P115" s="186"/>
      <x:c r="Q115" s="186"/>
      <x:c r="R115" s="186"/>
      <x:c r="S115" s="186"/>
      <x:c r="T115" s="186"/>
      <x:c r="U115" s="186"/>
      <x:c r="V115" s="186"/>
      <x:c r="W115" s="186"/>
      <x:c r="X115" s="186"/>
      <x:c r="Y115" s="186"/>
      <x:c r="Z115" s="186"/>
    </x:row>
    <x:row r="116">
      <x:c r="A116" s="186"/>
      <x:c r="B116" s="186"/>
      <x:c r="C116" s="186"/>
      <x:c r="D116" s="186"/>
      <x:c r="E116" s="186"/>
      <x:c r="F116" s="186"/>
      <x:c r="G116" s="186"/>
      <x:c r="H116" s="186"/>
      <x:c r="I116" s="186"/>
      <x:c r="J116" s="186"/>
      <x:c r="K116" s="186"/>
      <x:c r="L116" s="186"/>
      <x:c r="M116" s="186"/>
      <x:c r="N116" s="186"/>
      <x:c r="O116" s="186"/>
      <x:c r="P116" s="186"/>
      <x:c r="Q116" s="186"/>
      <x:c r="R116" s="186"/>
      <x:c r="S116" s="186"/>
      <x:c r="T116" s="186"/>
      <x:c r="U116" s="186"/>
      <x:c r="V116" s="186"/>
      <x:c r="W116" s="186"/>
      <x:c r="X116" s="186"/>
      <x:c r="Y116" s="186"/>
      <x:c r="Z116" s="186"/>
    </x:row>
    <x:row r="117">
      <x:c r="A117" s="186"/>
      <x:c r="B117" s="186"/>
      <x:c r="C117" s="186"/>
      <x:c r="D117" s="186"/>
      <x:c r="E117" s="186"/>
      <x:c r="F117" s="186"/>
      <x:c r="G117" s="186"/>
      <x:c r="H117" s="186"/>
      <x:c r="I117" s="186"/>
      <x:c r="J117" s="186"/>
      <x:c r="K117" s="186"/>
      <x:c r="L117" s="186"/>
      <x:c r="M117" s="186"/>
      <x:c r="N117" s="186"/>
      <x:c r="O117" s="186"/>
      <x:c r="P117" s="186"/>
      <x:c r="Q117" s="186"/>
      <x:c r="R117" s="186"/>
      <x:c r="S117" s="186"/>
      <x:c r="T117" s="186"/>
      <x:c r="U117" s="186"/>
      <x:c r="V117" s="186"/>
      <x:c r="W117" s="186"/>
      <x:c r="X117" s="186"/>
      <x:c r="Y117" s="186"/>
      <x:c r="Z117" s="186"/>
    </x:row>
    <x:row r="118">
      <x:c r="A118" s="186"/>
      <x:c r="B118" s="186"/>
      <x:c r="C118" s="186"/>
      <x:c r="D118" s="186"/>
      <x:c r="E118" s="186"/>
      <x:c r="F118" s="186"/>
      <x:c r="G118" s="186"/>
      <x:c r="H118" s="186"/>
      <x:c r="I118" s="186"/>
      <x:c r="J118" s="186"/>
      <x:c r="K118" s="186"/>
      <x:c r="L118" s="186"/>
      <x:c r="M118" s="186"/>
      <x:c r="N118" s="186"/>
      <x:c r="O118" s="186"/>
      <x:c r="P118" s="186"/>
      <x:c r="Q118" s="186"/>
      <x:c r="R118" s="186"/>
      <x:c r="S118" s="186"/>
      <x:c r="T118" s="186"/>
      <x:c r="U118" s="186"/>
      <x:c r="V118" s="186"/>
      <x:c r="W118" s="186"/>
      <x:c r="X118" s="186"/>
      <x:c r="Y118" s="186"/>
      <x:c r="Z118" s="186"/>
    </x:row>
    <x:row r="119">
      <x:c r="A119" s="186"/>
      <x:c r="B119" s="186"/>
      <x:c r="C119" s="186"/>
      <x:c r="D119" s="186"/>
      <x:c r="E119" s="186"/>
      <x:c r="F119" s="186"/>
      <x:c r="G119" s="186"/>
      <x:c r="H119" s="186"/>
      <x:c r="I119" s="186"/>
      <x:c r="J119" s="186"/>
      <x:c r="K119" s="186"/>
      <x:c r="L119" s="186"/>
      <x:c r="M119" s="186"/>
      <x:c r="N119" s="186"/>
      <x:c r="O119" s="186"/>
      <x:c r="P119" s="186"/>
      <x:c r="Q119" s="186"/>
      <x:c r="R119" s="186"/>
      <x:c r="S119" s="186"/>
      <x:c r="T119" s="186"/>
      <x:c r="U119" s="186"/>
      <x:c r="V119" s="186"/>
      <x:c r="W119" s="186"/>
      <x:c r="X119" s="186"/>
      <x:c r="Y119" s="186"/>
      <x:c r="Z119" s="186"/>
    </x:row>
    <x:row r="120">
      <x:c r="A120" s="186"/>
      <x:c r="B120" s="186"/>
      <x:c r="C120" s="186"/>
      <x:c r="D120" s="186"/>
      <x:c r="E120" s="186"/>
      <x:c r="F120" s="186"/>
      <x:c r="G120" s="186"/>
      <x:c r="H120" s="186"/>
      <x:c r="I120" s="186"/>
      <x:c r="J120" s="186"/>
      <x:c r="K120" s="186"/>
      <x:c r="L120" s="186"/>
      <x:c r="M120" s="186"/>
      <x:c r="N120" s="186"/>
      <x:c r="O120" s="186"/>
      <x:c r="P120" s="186"/>
      <x:c r="Q120" s="186"/>
      <x:c r="R120" s="186"/>
      <x:c r="S120" s="186"/>
      <x:c r="T120" s="186"/>
      <x:c r="U120" s="186"/>
      <x:c r="V120" s="186"/>
      <x:c r="W120" s="186"/>
      <x:c r="X120" s="186"/>
      <x:c r="Y120" s="186"/>
      <x:c r="Z120" s="186"/>
    </x:row>
    <x:row r="121">
      <x:c r="A121" s="186"/>
      <x:c r="B121" s="186"/>
      <x:c r="C121" s="186"/>
      <x:c r="D121" s="186"/>
      <x:c r="E121" s="186"/>
      <x:c r="F121" s="186"/>
      <x:c r="G121" s="186"/>
      <x:c r="H121" s="186"/>
      <x:c r="I121" s="186"/>
      <x:c r="J121" s="186"/>
      <x:c r="K121" s="186"/>
      <x:c r="L121" s="186"/>
      <x:c r="M121" s="186"/>
      <x:c r="N121" s="186"/>
      <x:c r="O121" s="186"/>
      <x:c r="P121" s="186"/>
      <x:c r="Q121" s="186"/>
      <x:c r="R121" s="186"/>
      <x:c r="S121" s="186"/>
      <x:c r="T121" s="186"/>
      <x:c r="U121" s="186"/>
      <x:c r="V121" s="186"/>
      <x:c r="W121" s="186"/>
      <x:c r="X121" s="186"/>
      <x:c r="Y121" s="186"/>
      <x:c r="Z121" s="186"/>
    </x:row>
    <x:row r="122">
      <x:c r="A122" s="186"/>
      <x:c r="B122" s="186"/>
      <x:c r="C122" s="186"/>
      <x:c r="D122" s="186"/>
      <x:c r="E122" s="186"/>
      <x:c r="F122" s="186"/>
      <x:c r="G122" s="186"/>
      <x:c r="H122" s="186"/>
      <x:c r="I122" s="186"/>
      <x:c r="J122" s="186"/>
      <x:c r="K122" s="186"/>
      <x:c r="L122" s="186"/>
      <x:c r="M122" s="186"/>
      <x:c r="N122" s="186"/>
      <x:c r="O122" s="186"/>
      <x:c r="P122" s="186"/>
      <x:c r="Q122" s="186"/>
      <x:c r="R122" s="186"/>
      <x:c r="S122" s="186"/>
      <x:c r="T122" s="186"/>
      <x:c r="U122" s="186"/>
      <x:c r="V122" s="186"/>
      <x:c r="W122" s="186"/>
      <x:c r="X122" s="186"/>
      <x:c r="Y122" s="186"/>
      <x:c r="Z122" s="186"/>
    </x:row>
    <x:row r="123">
      <x:c r="A123" s="186"/>
      <x:c r="B123" s="186"/>
      <x:c r="C123" s="186"/>
      <x:c r="D123" s="186"/>
      <x:c r="E123" s="186"/>
      <x:c r="F123" s="186"/>
      <x:c r="G123" s="186"/>
      <x:c r="H123" s="186"/>
      <x:c r="I123" s="186"/>
      <x:c r="J123" s="186"/>
      <x:c r="K123" s="186"/>
      <x:c r="L123" s="186"/>
      <x:c r="M123" s="186"/>
      <x:c r="N123" s="186"/>
      <x:c r="O123" s="186"/>
      <x:c r="P123" s="186"/>
      <x:c r="Q123" s="186"/>
      <x:c r="R123" s="186"/>
      <x:c r="S123" s="186"/>
      <x:c r="T123" s="186"/>
      <x:c r="U123" s="186"/>
      <x:c r="V123" s="186"/>
      <x:c r="W123" s="186"/>
      <x:c r="X123" s="186"/>
      <x:c r="Y123" s="186"/>
      <x:c r="Z123" s="186"/>
    </x:row>
    <x:row r="124">
      <x:c r="A124" s="186"/>
      <x:c r="B124" s="186"/>
      <x:c r="C124" s="186"/>
      <x:c r="D124" s="186"/>
      <x:c r="E124" s="186"/>
      <x:c r="F124" s="186"/>
      <x:c r="G124" s="186"/>
      <x:c r="H124" s="186"/>
      <x:c r="I124" s="186"/>
      <x:c r="J124" s="186"/>
      <x:c r="K124" s="186"/>
      <x:c r="L124" s="186"/>
      <x:c r="M124" s="186"/>
      <x:c r="N124" s="186"/>
      <x:c r="O124" s="186"/>
      <x:c r="P124" s="186"/>
      <x:c r="Q124" s="186"/>
      <x:c r="R124" s="186"/>
      <x:c r="S124" s="186"/>
      <x:c r="T124" s="186"/>
      <x:c r="U124" s="186"/>
      <x:c r="V124" s="186"/>
      <x:c r="W124" s="186"/>
      <x:c r="X124" s="186"/>
      <x:c r="Y124" s="186"/>
      <x:c r="Z124" s="186"/>
    </x:row>
    <x:row r="125">
      <x:c r="A125" s="186"/>
      <x:c r="B125" s="186"/>
      <x:c r="C125" s="186"/>
      <x:c r="D125" s="186"/>
      <x:c r="E125" s="186"/>
      <x:c r="F125" s="186"/>
      <x:c r="G125" s="186"/>
      <x:c r="H125" s="186"/>
      <x:c r="I125" s="186"/>
      <x:c r="J125" s="186"/>
      <x:c r="K125" s="186"/>
      <x:c r="L125" s="186"/>
      <x:c r="M125" s="186"/>
      <x:c r="N125" s="186"/>
      <x:c r="O125" s="186"/>
      <x:c r="P125" s="186"/>
      <x:c r="Q125" s="186"/>
      <x:c r="R125" s="186"/>
      <x:c r="S125" s="186"/>
      <x:c r="T125" s="186"/>
      <x:c r="U125" s="186"/>
      <x:c r="V125" s="186"/>
      <x:c r="W125" s="186"/>
      <x:c r="X125" s="186"/>
      <x:c r="Y125" s="186"/>
      <x:c r="Z125" s="186"/>
    </x:row>
    <x:row r="126">
      <x:c r="A126" s="186"/>
      <x:c r="B126" s="186"/>
      <x:c r="C126" s="186"/>
      <x:c r="D126" s="186"/>
      <x:c r="E126" s="186"/>
      <x:c r="F126" s="186"/>
      <x:c r="G126" s="186"/>
      <x:c r="H126" s="186"/>
      <x:c r="I126" s="186"/>
      <x:c r="J126" s="186"/>
      <x:c r="K126" s="186"/>
      <x:c r="L126" s="186"/>
      <x:c r="M126" s="186"/>
      <x:c r="N126" s="186"/>
      <x:c r="O126" s="186"/>
      <x:c r="P126" s="186"/>
      <x:c r="Q126" s="186"/>
      <x:c r="R126" s="186"/>
      <x:c r="S126" s="186"/>
      <x:c r="T126" s="186"/>
      <x:c r="U126" s="186"/>
      <x:c r="V126" s="186"/>
      <x:c r="W126" s="186"/>
      <x:c r="X126" s="186"/>
      <x:c r="Y126" s="186"/>
      <x:c r="Z126" s="186"/>
    </x:row>
    <x:row r="127">
      <x:c r="A127" s="186"/>
      <x:c r="B127" s="186"/>
      <x:c r="C127" s="186"/>
      <x:c r="D127" s="186"/>
      <x:c r="E127" s="186"/>
      <x:c r="F127" s="186"/>
      <x:c r="G127" s="186"/>
      <x:c r="H127" s="186"/>
      <x:c r="I127" s="186"/>
      <x:c r="J127" s="186"/>
      <x:c r="K127" s="186"/>
      <x:c r="L127" s="186"/>
      <x:c r="M127" s="186"/>
      <x:c r="N127" s="186"/>
      <x:c r="O127" s="186"/>
      <x:c r="P127" s="186"/>
      <x:c r="Q127" s="186"/>
      <x:c r="R127" s="186"/>
      <x:c r="S127" s="186"/>
      <x:c r="T127" s="186"/>
      <x:c r="U127" s="186"/>
      <x:c r="V127" s="186"/>
      <x:c r="W127" s="186"/>
      <x:c r="X127" s="186"/>
      <x:c r="Y127" s="186"/>
      <x:c r="Z127" s="186"/>
    </x:row>
    <x:row r="128">
      <x:c r="A128" s="186"/>
      <x:c r="B128" s="186"/>
      <x:c r="C128" s="186"/>
      <x:c r="D128" s="186"/>
      <x:c r="E128" s="186"/>
      <x:c r="F128" s="186"/>
      <x:c r="G128" s="186"/>
      <x:c r="H128" s="186"/>
      <x:c r="I128" s="186"/>
      <x:c r="J128" s="186"/>
      <x:c r="K128" s="186"/>
      <x:c r="L128" s="186"/>
      <x:c r="M128" s="186"/>
      <x:c r="N128" s="186"/>
      <x:c r="O128" s="186"/>
      <x:c r="P128" s="186"/>
      <x:c r="Q128" s="186"/>
      <x:c r="R128" s="186"/>
      <x:c r="S128" s="186"/>
      <x:c r="T128" s="186"/>
      <x:c r="U128" s="186"/>
      <x:c r="V128" s="186"/>
      <x:c r="W128" s="186"/>
      <x:c r="X128" s="186"/>
      <x:c r="Y128" s="186"/>
      <x:c r="Z128" s="186"/>
    </x:row>
    <x:row r="129">
      <x:c r="A129" s="186"/>
      <x:c r="B129" s="186"/>
      <x:c r="C129" s="186"/>
      <x:c r="D129" s="186"/>
      <x:c r="E129" s="186"/>
      <x:c r="F129" s="186"/>
      <x:c r="G129" s="186"/>
      <x:c r="H129" s="186"/>
      <x:c r="I129" s="186"/>
      <x:c r="J129" s="186"/>
      <x:c r="K129" s="186"/>
      <x:c r="L129" s="186"/>
      <x:c r="M129" s="186"/>
      <x:c r="N129" s="186"/>
      <x:c r="O129" s="186"/>
      <x:c r="P129" s="186"/>
      <x:c r="Q129" s="186"/>
      <x:c r="R129" s="186"/>
      <x:c r="S129" s="186"/>
      <x:c r="T129" s="186"/>
      <x:c r="U129" s="186"/>
      <x:c r="V129" s="186"/>
      <x:c r="W129" s="186"/>
      <x:c r="X129" s="186"/>
      <x:c r="Y129" s="186"/>
      <x:c r="Z129" s="186"/>
    </x:row>
    <x:row r="130">
      <x:c r="A130" s="186"/>
      <x:c r="B130" s="186"/>
      <x:c r="C130" s="186"/>
      <x:c r="D130" s="186"/>
      <x:c r="E130" s="186"/>
      <x:c r="F130" s="186"/>
      <x:c r="G130" s="186"/>
      <x:c r="H130" s="186"/>
      <x:c r="I130" s="186"/>
      <x:c r="J130" s="186"/>
      <x:c r="K130" s="186"/>
      <x:c r="L130" s="186"/>
      <x:c r="M130" s="186"/>
      <x:c r="N130" s="186"/>
      <x:c r="O130" s="186"/>
      <x:c r="P130" s="186"/>
      <x:c r="Q130" s="186"/>
      <x:c r="R130" s="186"/>
      <x:c r="S130" s="186"/>
      <x:c r="T130" s="186"/>
      <x:c r="U130" s="186"/>
      <x:c r="V130" s="186"/>
      <x:c r="W130" s="186"/>
      <x:c r="X130" s="186"/>
      <x:c r="Y130" s="186"/>
      <x:c r="Z130" s="186"/>
    </x:row>
    <x:row r="131">
      <x:c r="A131" s="186"/>
      <x:c r="B131" s="186"/>
      <x:c r="C131" s="186"/>
      <x:c r="D131" s="186"/>
      <x:c r="E131" s="186"/>
      <x:c r="F131" s="186"/>
      <x:c r="G131" s="186"/>
      <x:c r="H131" s="186"/>
      <x:c r="I131" s="186"/>
      <x:c r="J131" s="186"/>
      <x:c r="K131" s="186"/>
      <x:c r="L131" s="186"/>
      <x:c r="M131" s="186"/>
      <x:c r="N131" s="186"/>
      <x:c r="O131" s="186"/>
      <x:c r="P131" s="186"/>
      <x:c r="Q131" s="186"/>
      <x:c r="R131" s="186"/>
      <x:c r="S131" s="186"/>
      <x:c r="T131" s="186"/>
      <x:c r="U131" s="186"/>
      <x:c r="V131" s="186"/>
      <x:c r="W131" s="186"/>
      <x:c r="X131" s="186"/>
      <x:c r="Y131" s="186"/>
      <x:c r="Z131" s="186"/>
    </x:row>
    <x:row r="132">
      <x:c r="A132" s="186"/>
      <x:c r="B132" s="186"/>
      <x:c r="C132" s="186"/>
      <x:c r="D132" s="186"/>
      <x:c r="E132" s="186"/>
      <x:c r="F132" s="186"/>
      <x:c r="G132" s="186"/>
      <x:c r="H132" s="186"/>
      <x:c r="I132" s="186"/>
      <x:c r="J132" s="186"/>
      <x:c r="K132" s="186"/>
      <x:c r="L132" s="186"/>
      <x:c r="M132" s="186"/>
      <x:c r="N132" s="186"/>
      <x:c r="O132" s="186"/>
      <x:c r="P132" s="186"/>
      <x:c r="Q132" s="186"/>
      <x:c r="R132" s="186"/>
      <x:c r="S132" s="186"/>
      <x:c r="T132" s="186"/>
      <x:c r="U132" s="186"/>
      <x:c r="V132" s="186"/>
      <x:c r="W132" s="186"/>
      <x:c r="X132" s="186"/>
      <x:c r="Y132" s="186"/>
      <x:c r="Z132" s="186"/>
    </x:row>
    <x:row r="133">
      <x:c r="A133" s="186"/>
      <x:c r="B133" s="186"/>
      <x:c r="C133" s="186"/>
      <x:c r="D133" s="186"/>
      <x:c r="E133" s="186"/>
      <x:c r="F133" s="186"/>
      <x:c r="G133" s="186"/>
      <x:c r="H133" s="186"/>
      <x:c r="I133" s="186"/>
      <x:c r="J133" s="186"/>
      <x:c r="K133" s="186"/>
      <x:c r="L133" s="186"/>
      <x:c r="M133" s="186"/>
      <x:c r="N133" s="186"/>
      <x:c r="O133" s="186"/>
      <x:c r="P133" s="186"/>
      <x:c r="Q133" s="186"/>
      <x:c r="R133" s="186"/>
      <x:c r="S133" s="186"/>
      <x:c r="T133" s="186"/>
      <x:c r="U133" s="186"/>
      <x:c r="V133" s="186"/>
      <x:c r="W133" s="186"/>
      <x:c r="X133" s="186"/>
      <x:c r="Y133" s="186"/>
      <x:c r="Z133" s="186"/>
    </x:row>
    <x:row r="134">
      <x:c r="A134" s="186"/>
      <x:c r="B134" s="186"/>
      <x:c r="C134" s="186"/>
      <x:c r="D134" s="186"/>
      <x:c r="E134" s="186"/>
      <x:c r="F134" s="186"/>
      <x:c r="G134" s="186"/>
      <x:c r="H134" s="186"/>
      <x:c r="I134" s="186"/>
      <x:c r="J134" s="186"/>
      <x:c r="K134" s="186"/>
      <x:c r="L134" s="186"/>
      <x:c r="M134" s="186"/>
      <x:c r="N134" s="186"/>
      <x:c r="O134" s="186"/>
      <x:c r="P134" s="186"/>
      <x:c r="Q134" s="186"/>
      <x:c r="R134" s="186"/>
      <x:c r="S134" s="186"/>
      <x:c r="T134" s="186"/>
      <x:c r="U134" s="186"/>
      <x:c r="V134" s="186"/>
      <x:c r="W134" s="186"/>
      <x:c r="X134" s="186"/>
      <x:c r="Y134" s="186"/>
      <x:c r="Z134" s="186"/>
    </x:row>
    <x:row r="135">
      <x:c r="A135" s="186"/>
      <x:c r="B135" s="186"/>
      <x:c r="C135" s="186"/>
      <x:c r="D135" s="186"/>
      <x:c r="E135" s="186"/>
      <x:c r="F135" s="186"/>
      <x:c r="G135" s="186"/>
      <x:c r="H135" s="186"/>
      <x:c r="I135" s="186"/>
      <x:c r="J135" s="186"/>
      <x:c r="K135" s="186"/>
      <x:c r="L135" s="186"/>
      <x:c r="M135" s="186"/>
      <x:c r="N135" s="186"/>
      <x:c r="O135" s="186"/>
      <x:c r="P135" s="186"/>
      <x:c r="Q135" s="186"/>
      <x:c r="R135" s="186"/>
      <x:c r="S135" s="186"/>
      <x:c r="T135" s="186"/>
      <x:c r="U135" s="186"/>
      <x:c r="V135" s="186"/>
      <x:c r="W135" s="186"/>
      <x:c r="X135" s="186"/>
      <x:c r="Y135" s="186"/>
      <x:c r="Z135" s="186"/>
    </x:row>
    <x:row r="136">
      <x:c r="A136" s="186"/>
      <x:c r="B136" s="186"/>
      <x:c r="C136" s="186"/>
      <x:c r="D136" s="186"/>
      <x:c r="E136" s="186"/>
      <x:c r="F136" s="186"/>
      <x:c r="G136" s="186"/>
      <x:c r="H136" s="186"/>
      <x:c r="I136" s="186"/>
      <x:c r="J136" s="186"/>
      <x:c r="K136" s="186"/>
      <x:c r="L136" s="186"/>
      <x:c r="M136" s="186"/>
      <x:c r="N136" s="186"/>
      <x:c r="O136" s="186"/>
      <x:c r="P136" s="186"/>
      <x:c r="Q136" s="186"/>
      <x:c r="R136" s="186"/>
      <x:c r="S136" s="186"/>
      <x:c r="T136" s="186"/>
      <x:c r="U136" s="186"/>
      <x:c r="V136" s="186"/>
      <x:c r="W136" s="186"/>
      <x:c r="X136" s="186"/>
      <x:c r="Y136" s="186"/>
      <x:c r="Z136" s="186"/>
    </x:row>
    <x:row r="137">
      <x:c r="A137" s="186"/>
      <x:c r="B137" s="186"/>
      <x:c r="C137" s="186"/>
      <x:c r="D137" s="186"/>
      <x:c r="E137" s="186"/>
      <x:c r="F137" s="186"/>
      <x:c r="G137" s="186"/>
      <x:c r="H137" s="186"/>
      <x:c r="I137" s="186"/>
      <x:c r="J137" s="186"/>
      <x:c r="K137" s="186"/>
      <x:c r="L137" s="186"/>
      <x:c r="M137" s="186"/>
      <x:c r="N137" s="186"/>
      <x:c r="O137" s="186"/>
      <x:c r="P137" s="186"/>
      <x:c r="Q137" s="186"/>
      <x:c r="R137" s="186"/>
      <x:c r="S137" s="186"/>
      <x:c r="T137" s="186"/>
      <x:c r="U137" s="186"/>
      <x:c r="V137" s="186"/>
      <x:c r="W137" s="186"/>
      <x:c r="X137" s="186"/>
      <x:c r="Y137" s="186"/>
      <x:c r="Z137" s="186"/>
    </x:row>
    <x:row r="138">
      <x:c r="A138" s="186"/>
      <x:c r="B138" s="186"/>
      <x:c r="C138" s="186"/>
      <x:c r="D138" s="186"/>
      <x:c r="E138" s="186"/>
      <x:c r="F138" s="186"/>
      <x:c r="G138" s="186"/>
      <x:c r="H138" s="186"/>
      <x:c r="I138" s="186"/>
      <x:c r="J138" s="186"/>
      <x:c r="K138" s="186"/>
      <x:c r="L138" s="186"/>
      <x:c r="M138" s="186"/>
      <x:c r="N138" s="186"/>
      <x:c r="O138" s="186"/>
      <x:c r="P138" s="186"/>
      <x:c r="Q138" s="186"/>
      <x:c r="R138" s="186"/>
      <x:c r="S138" s="186"/>
      <x:c r="T138" s="186"/>
      <x:c r="U138" s="186"/>
      <x:c r="V138" s="186"/>
      <x:c r="W138" s="186"/>
      <x:c r="X138" s="186"/>
      <x:c r="Y138" s="186"/>
      <x:c r="Z138" s="186"/>
    </x:row>
    <x:row r="139">
      <x:c r="A139" s="186"/>
      <x:c r="B139" s="186"/>
      <x:c r="C139" s="186"/>
      <x:c r="D139" s="186"/>
      <x:c r="E139" s="186"/>
      <x:c r="F139" s="186"/>
      <x:c r="G139" s="186"/>
      <x:c r="H139" s="186"/>
      <x:c r="I139" s="186"/>
      <x:c r="J139" s="186"/>
      <x:c r="K139" s="186"/>
      <x:c r="L139" s="186"/>
      <x:c r="M139" s="186"/>
      <x:c r="N139" s="186"/>
      <x:c r="O139" s="186"/>
      <x:c r="P139" s="186"/>
      <x:c r="Q139" s="186"/>
      <x:c r="R139" s="186"/>
      <x:c r="S139" s="186"/>
      <x:c r="T139" s="186"/>
      <x:c r="U139" s="186"/>
      <x:c r="V139" s="186"/>
      <x:c r="W139" s="186"/>
      <x:c r="X139" s="186"/>
      <x:c r="Y139" s="186"/>
      <x:c r="Z139" s="186"/>
    </x:row>
    <x:row r="140">
      <x:c r="A140" s="186"/>
      <x:c r="B140" s="186"/>
      <x:c r="C140" s="186"/>
      <x:c r="D140" s="186"/>
      <x:c r="E140" s="186"/>
      <x:c r="F140" s="186"/>
      <x:c r="G140" s="186"/>
      <x:c r="H140" s="186"/>
      <x:c r="I140" s="186"/>
      <x:c r="J140" s="186"/>
      <x:c r="K140" s="186"/>
      <x:c r="L140" s="186"/>
      <x:c r="M140" s="186"/>
      <x:c r="N140" s="186"/>
      <x:c r="O140" s="186"/>
      <x:c r="P140" s="186"/>
      <x:c r="Q140" s="186"/>
      <x:c r="R140" s="186"/>
      <x:c r="S140" s="186"/>
      <x:c r="T140" s="186"/>
      <x:c r="U140" s="186"/>
      <x:c r="V140" s="186"/>
      <x:c r="W140" s="186"/>
      <x:c r="X140" s="186"/>
      <x:c r="Y140" s="186"/>
      <x:c r="Z140" s="186"/>
    </x:row>
    <x:row r="141">
      <x:c r="A141" s="186"/>
      <x:c r="B141" s="186"/>
      <x:c r="C141" s="186"/>
      <x:c r="D141" s="186"/>
      <x:c r="E141" s="186"/>
      <x:c r="F141" s="186"/>
      <x:c r="G141" s="186"/>
      <x:c r="H141" s="186"/>
      <x:c r="I141" s="186"/>
      <x:c r="J141" s="186"/>
      <x:c r="K141" s="186"/>
      <x:c r="L141" s="186"/>
      <x:c r="M141" s="186"/>
      <x:c r="N141" s="186"/>
      <x:c r="O141" s="186"/>
      <x:c r="P141" s="186"/>
      <x:c r="Q141" s="186"/>
      <x:c r="R141" s="186"/>
      <x:c r="S141" s="186"/>
      <x:c r="T141" s="186"/>
      <x:c r="U141" s="186"/>
      <x:c r="V141" s="186"/>
      <x:c r="W141" s="186"/>
      <x:c r="X141" s="186"/>
      <x:c r="Y141" s="186"/>
      <x:c r="Z141" s="186"/>
    </x:row>
    <x:row r="142">
      <x:c r="A142" s="186"/>
      <x:c r="B142" s="186"/>
      <x:c r="C142" s="186"/>
      <x:c r="D142" s="186"/>
      <x:c r="E142" s="186"/>
      <x:c r="F142" s="186"/>
      <x:c r="G142" s="186"/>
      <x:c r="H142" s="186"/>
      <x:c r="I142" s="186"/>
      <x:c r="J142" s="186"/>
      <x:c r="K142" s="186"/>
      <x:c r="L142" s="186"/>
      <x:c r="M142" s="186"/>
      <x:c r="N142" s="186"/>
      <x:c r="O142" s="186"/>
      <x:c r="P142" s="186"/>
      <x:c r="Q142" s="186"/>
      <x:c r="R142" s="186"/>
      <x:c r="S142" s="186"/>
      <x:c r="T142" s="186"/>
      <x:c r="U142" s="186"/>
      <x:c r="V142" s="186"/>
      <x:c r="W142" s="186"/>
      <x:c r="X142" s="186"/>
      <x:c r="Y142" s="186"/>
      <x:c r="Z142" s="186"/>
    </x:row>
    <x:row r="143">
      <x:c r="A143" s="186"/>
      <x:c r="B143" s="186"/>
      <x:c r="C143" s="186"/>
      <x:c r="D143" s="186"/>
      <x:c r="E143" s="186"/>
      <x:c r="F143" s="186"/>
      <x:c r="G143" s="186"/>
      <x:c r="H143" s="186"/>
      <x:c r="I143" s="186"/>
      <x:c r="J143" s="186"/>
      <x:c r="K143" s="186"/>
      <x:c r="L143" s="186"/>
      <x:c r="M143" s="186"/>
      <x:c r="N143" s="186"/>
      <x:c r="O143" s="186"/>
      <x:c r="P143" s="186"/>
      <x:c r="Q143" s="186"/>
      <x:c r="R143" s="186"/>
      <x:c r="S143" s="186"/>
      <x:c r="T143" s="186"/>
      <x:c r="U143" s="186"/>
      <x:c r="V143" s="186"/>
      <x:c r="W143" s="186"/>
      <x:c r="X143" s="186"/>
      <x:c r="Y143" s="186"/>
      <x:c r="Z143" s="186"/>
    </x:row>
    <x:row r="144">
      <x:c r="A144" s="186"/>
      <x:c r="B144" s="186"/>
      <x:c r="C144" s="186"/>
      <x:c r="D144" s="186"/>
      <x:c r="E144" s="186"/>
      <x:c r="F144" s="186"/>
      <x:c r="G144" s="186"/>
      <x:c r="H144" s="186"/>
      <x:c r="I144" s="186"/>
      <x:c r="J144" s="186"/>
      <x:c r="K144" s="186"/>
      <x:c r="L144" s="186"/>
      <x:c r="M144" s="186"/>
      <x:c r="N144" s="186"/>
      <x:c r="O144" s="186"/>
      <x:c r="P144" s="186"/>
      <x:c r="Q144" s="186"/>
      <x:c r="R144" s="186"/>
      <x:c r="S144" s="186"/>
      <x:c r="T144" s="186"/>
      <x:c r="U144" s="186"/>
      <x:c r="V144" s="186"/>
      <x:c r="W144" s="186"/>
      <x:c r="X144" s="186"/>
      <x:c r="Y144" s="186"/>
      <x:c r="Z144" s="186"/>
    </x:row>
    <x:row r="145">
      <x:c r="A145" s="186"/>
      <x:c r="B145" s="186"/>
      <x:c r="C145" s="186"/>
      <x:c r="D145" s="186"/>
      <x:c r="E145" s="186"/>
      <x:c r="F145" s="186"/>
      <x:c r="G145" s="186"/>
      <x:c r="H145" s="186"/>
      <x:c r="I145" s="186"/>
      <x:c r="J145" s="186"/>
      <x:c r="K145" s="186"/>
      <x:c r="L145" s="186"/>
      <x:c r="M145" s="186"/>
      <x:c r="N145" s="186"/>
      <x:c r="O145" s="186"/>
      <x:c r="P145" s="186"/>
      <x:c r="Q145" s="186"/>
      <x:c r="R145" s="186"/>
      <x:c r="S145" s="186"/>
      <x:c r="T145" s="186"/>
      <x:c r="U145" s="186"/>
      <x:c r="V145" s="186"/>
      <x:c r="W145" s="186"/>
      <x:c r="X145" s="186"/>
      <x:c r="Y145" s="186"/>
      <x:c r="Z145" s="186"/>
    </x:row>
    <x:row r="146">
      <x:c r="A146" s="186"/>
      <x:c r="B146" s="186"/>
      <x:c r="C146" s="186"/>
      <x:c r="D146" s="186"/>
      <x:c r="E146" s="186"/>
      <x:c r="F146" s="186"/>
      <x:c r="G146" s="186"/>
      <x:c r="H146" s="186"/>
      <x:c r="I146" s="186"/>
      <x:c r="J146" s="186"/>
      <x:c r="K146" s="186"/>
      <x:c r="L146" s="186"/>
      <x:c r="M146" s="186"/>
      <x:c r="N146" s="186"/>
      <x:c r="O146" s="186"/>
      <x:c r="P146" s="186"/>
      <x:c r="Q146" s="186"/>
      <x:c r="R146" s="186"/>
      <x:c r="S146" s="186"/>
      <x:c r="T146" s="186"/>
      <x:c r="U146" s="186"/>
      <x:c r="V146" s="186"/>
      <x:c r="W146" s="186"/>
      <x:c r="X146" s="186"/>
      <x:c r="Y146" s="186"/>
      <x:c r="Z146" s="186"/>
    </x:row>
    <x:row r="147">
      <x:c r="A147" s="186"/>
      <x:c r="B147" s="186"/>
      <x:c r="C147" s="186"/>
      <x:c r="D147" s="186"/>
      <x:c r="E147" s="186"/>
      <x:c r="F147" s="186"/>
      <x:c r="G147" s="186"/>
      <x:c r="H147" s="186"/>
      <x:c r="I147" s="186"/>
      <x:c r="J147" s="186"/>
      <x:c r="K147" s="186"/>
      <x:c r="L147" s="186"/>
      <x:c r="M147" s="186"/>
      <x:c r="N147" s="186"/>
      <x:c r="O147" s="186"/>
      <x:c r="P147" s="186"/>
      <x:c r="Q147" s="186"/>
      <x:c r="R147" s="186"/>
      <x:c r="S147" s="186"/>
      <x:c r="T147" s="186"/>
      <x:c r="U147" s="186"/>
      <x:c r="V147" s="186"/>
      <x:c r="W147" s="186"/>
      <x:c r="X147" s="186"/>
      <x:c r="Y147" s="186"/>
      <x:c r="Z147" s="186"/>
    </x:row>
    <x:row r="148">
      <x:c r="A148" s="186"/>
      <x:c r="B148" s="186"/>
      <x:c r="C148" s="186"/>
      <x:c r="D148" s="186"/>
      <x:c r="E148" s="186"/>
      <x:c r="F148" s="186"/>
      <x:c r="G148" s="186"/>
      <x:c r="H148" s="186"/>
      <x:c r="I148" s="186"/>
      <x:c r="J148" s="186"/>
      <x:c r="K148" s="186"/>
      <x:c r="L148" s="186"/>
      <x:c r="M148" s="186"/>
      <x:c r="N148" s="186"/>
      <x:c r="O148" s="186"/>
      <x:c r="P148" s="186"/>
      <x:c r="Q148" s="186"/>
      <x:c r="R148" s="186"/>
      <x:c r="S148" s="186"/>
      <x:c r="T148" s="186"/>
      <x:c r="U148" s="186"/>
      <x:c r="V148" s="186"/>
      <x:c r="W148" s="186"/>
      <x:c r="X148" s="186"/>
      <x:c r="Y148" s="186"/>
      <x:c r="Z148" s="186"/>
    </x:row>
    <x:row r="149">
      <x:c r="A149" s="186"/>
      <x:c r="B149" s="186"/>
      <x:c r="C149" s="186"/>
      <x:c r="D149" s="186"/>
      <x:c r="E149" s="186"/>
      <x:c r="F149" s="186"/>
      <x:c r="G149" s="186"/>
      <x:c r="H149" s="186"/>
      <x:c r="I149" s="186"/>
      <x:c r="J149" s="186"/>
      <x:c r="K149" s="186"/>
      <x:c r="L149" s="186"/>
      <x:c r="M149" s="186"/>
      <x:c r="N149" s="186"/>
      <x:c r="O149" s="186"/>
      <x:c r="P149" s="186"/>
      <x:c r="Q149" s="186"/>
      <x:c r="R149" s="186"/>
      <x:c r="S149" s="186"/>
      <x:c r="T149" s="186"/>
      <x:c r="U149" s="186"/>
      <x:c r="V149" s="186"/>
      <x:c r="W149" s="186"/>
      <x:c r="X149" s="186"/>
      <x:c r="Y149" s="186"/>
      <x:c r="Z149" s="186"/>
    </x:row>
    <x:row r="150">
      <x:c r="A150" s="186"/>
      <x:c r="B150" s="186"/>
      <x:c r="C150" s="186"/>
      <x:c r="D150" s="186"/>
      <x:c r="E150" s="186"/>
      <x:c r="F150" s="186"/>
      <x:c r="G150" s="186"/>
      <x:c r="H150" s="186"/>
      <x:c r="I150" s="186"/>
      <x:c r="J150" s="186"/>
      <x:c r="K150" s="186"/>
      <x:c r="L150" s="186"/>
      <x:c r="M150" s="186"/>
      <x:c r="N150" s="186"/>
      <x:c r="O150" s="186"/>
      <x:c r="P150" s="186"/>
      <x:c r="Q150" s="186"/>
      <x:c r="R150" s="186"/>
      <x:c r="S150" s="186"/>
      <x:c r="T150" s="186"/>
      <x:c r="U150" s="186"/>
      <x:c r="V150" s="186"/>
      <x:c r="W150" s="186"/>
      <x:c r="X150" s="186"/>
      <x:c r="Y150" s="186"/>
      <x:c r="Z150" s="186"/>
    </x:row>
    <x:row r="151">
      <x:c r="A151" s="186"/>
      <x:c r="B151" s="186"/>
      <x:c r="C151" s="186"/>
      <x:c r="D151" s="186"/>
      <x:c r="E151" s="186"/>
      <x:c r="F151" s="186"/>
      <x:c r="G151" s="186"/>
      <x:c r="H151" s="186"/>
      <x:c r="I151" s="186"/>
      <x:c r="J151" s="186"/>
      <x:c r="K151" s="186"/>
      <x:c r="L151" s="186"/>
      <x:c r="M151" s="186"/>
      <x:c r="N151" s="186"/>
      <x:c r="O151" s="186"/>
      <x:c r="P151" s="186"/>
      <x:c r="Q151" s="186"/>
      <x:c r="R151" s="186"/>
      <x:c r="S151" s="186"/>
      <x:c r="T151" s="186"/>
      <x:c r="U151" s="186"/>
      <x:c r="V151" s="186"/>
      <x:c r="W151" s="186"/>
      <x:c r="X151" s="186"/>
      <x:c r="Y151" s="186"/>
      <x:c r="Z151" s="186"/>
    </x:row>
    <x:row r="152">
      <x:c r="A152" s="186"/>
      <x:c r="B152" s="186"/>
      <x:c r="C152" s="186"/>
      <x:c r="D152" s="186"/>
      <x:c r="E152" s="186"/>
      <x:c r="F152" s="186"/>
      <x:c r="G152" s="186"/>
      <x:c r="H152" s="186"/>
      <x:c r="I152" s="186"/>
      <x:c r="J152" s="186"/>
      <x:c r="K152" s="186"/>
      <x:c r="L152" s="186"/>
      <x:c r="M152" s="186"/>
      <x:c r="N152" s="186"/>
      <x:c r="O152" s="186"/>
      <x:c r="P152" s="186"/>
      <x:c r="Q152" s="186"/>
      <x:c r="R152" s="186"/>
      <x:c r="S152" s="186"/>
      <x:c r="T152" s="186"/>
      <x:c r="U152" s="186"/>
      <x:c r="V152" s="186"/>
      <x:c r="W152" s="186"/>
      <x:c r="X152" s="186"/>
      <x:c r="Y152" s="186"/>
      <x:c r="Z152" s="186"/>
    </x:row>
    <x:row r="153">
      <x:c r="A153" s="186"/>
      <x:c r="B153" s="186"/>
      <x:c r="C153" s="186"/>
      <x:c r="D153" s="186"/>
      <x:c r="E153" s="186"/>
      <x:c r="F153" s="186"/>
      <x:c r="G153" s="186"/>
      <x:c r="H153" s="186"/>
      <x:c r="I153" s="186"/>
      <x:c r="J153" s="186"/>
      <x:c r="K153" s="186"/>
      <x:c r="L153" s="186"/>
      <x:c r="M153" s="186"/>
      <x:c r="N153" s="186"/>
      <x:c r="O153" s="186"/>
      <x:c r="P153" s="186"/>
      <x:c r="Q153" s="186"/>
      <x:c r="R153" s="186"/>
      <x:c r="S153" s="186"/>
      <x:c r="T153" s="186"/>
      <x:c r="U153" s="186"/>
      <x:c r="V153" s="186"/>
      <x:c r="W153" s="186"/>
      <x:c r="X153" s="186"/>
      <x:c r="Y153" s="186"/>
      <x:c r="Z153" s="186"/>
    </x:row>
    <x:row r="154">
      <x:c r="A154" s="186"/>
      <x:c r="B154" s="186"/>
      <x:c r="C154" s="186"/>
      <x:c r="D154" s="186"/>
      <x:c r="E154" s="186"/>
      <x:c r="F154" s="186"/>
      <x:c r="G154" s="186"/>
      <x:c r="H154" s="186"/>
      <x:c r="I154" s="186"/>
      <x:c r="J154" s="186"/>
      <x:c r="K154" s="186"/>
      <x:c r="L154" s="186"/>
      <x:c r="M154" s="186"/>
      <x:c r="N154" s="186"/>
      <x:c r="O154" s="186"/>
      <x:c r="P154" s="186"/>
      <x:c r="Q154" s="186"/>
      <x:c r="R154" s="186"/>
      <x:c r="S154" s="186"/>
      <x:c r="T154" s="186"/>
      <x:c r="U154" s="186"/>
      <x:c r="V154" s="186"/>
      <x:c r="W154" s="186"/>
      <x:c r="X154" s="186"/>
      <x:c r="Y154" s="186"/>
      <x:c r="Z154" s="186"/>
    </x:row>
    <x:row r="155">
      <x:c r="A155" s="186"/>
      <x:c r="B155" s="186"/>
      <x:c r="C155" s="186"/>
      <x:c r="D155" s="186"/>
      <x:c r="E155" s="186"/>
      <x:c r="F155" s="186"/>
      <x:c r="G155" s="186"/>
      <x:c r="H155" s="186"/>
      <x:c r="I155" s="186"/>
      <x:c r="J155" s="186"/>
      <x:c r="K155" s="186"/>
      <x:c r="L155" s="186"/>
      <x:c r="M155" s="186"/>
      <x:c r="N155" s="186"/>
      <x:c r="O155" s="186"/>
      <x:c r="P155" s="186"/>
      <x:c r="Q155" s="186"/>
      <x:c r="R155" s="186"/>
      <x:c r="S155" s="186"/>
      <x:c r="T155" s="186"/>
      <x:c r="U155" s="186"/>
      <x:c r="V155" s="186"/>
      <x:c r="W155" s="186"/>
      <x:c r="X155" s="186"/>
      <x:c r="Y155" s="186"/>
      <x:c r="Z155" s="186"/>
    </x:row>
    <x:row r="156">
      <x:c r="A156" s="186"/>
      <x:c r="B156" s="186"/>
      <x:c r="C156" s="186"/>
      <x:c r="D156" s="186"/>
      <x:c r="E156" s="186"/>
      <x:c r="F156" s="186"/>
      <x:c r="G156" s="186"/>
      <x:c r="H156" s="186"/>
      <x:c r="I156" s="186"/>
      <x:c r="J156" s="186"/>
      <x:c r="K156" s="186"/>
      <x:c r="L156" s="186"/>
      <x:c r="M156" s="186"/>
      <x:c r="N156" s="186"/>
      <x:c r="O156" s="186"/>
      <x:c r="P156" s="186"/>
      <x:c r="Q156" s="186"/>
      <x:c r="R156" s="186"/>
      <x:c r="S156" s="186"/>
      <x:c r="T156" s="186"/>
      <x:c r="U156" s="186"/>
      <x:c r="V156" s="186"/>
      <x:c r="W156" s="186"/>
      <x:c r="X156" s="186"/>
      <x:c r="Y156" s="186"/>
      <x:c r="Z156" s="186"/>
    </x:row>
    <x:row r="157">
      <x:c r="A157" s="186"/>
      <x:c r="B157" s="186"/>
      <x:c r="C157" s="186"/>
      <x:c r="D157" s="186"/>
      <x:c r="E157" s="186"/>
      <x:c r="F157" s="186"/>
      <x:c r="G157" s="186"/>
      <x:c r="H157" s="186"/>
      <x:c r="I157" s="186"/>
      <x:c r="J157" s="186"/>
      <x:c r="K157" s="186"/>
      <x:c r="L157" s="186"/>
      <x:c r="M157" s="186"/>
      <x:c r="N157" s="186"/>
      <x:c r="O157" s="186"/>
      <x:c r="P157" s="186"/>
      <x:c r="Q157" s="186"/>
      <x:c r="R157" s="186"/>
      <x:c r="S157" s="186"/>
      <x:c r="T157" s="186"/>
      <x:c r="U157" s="186"/>
      <x:c r="V157" s="186"/>
      <x:c r="W157" s="186"/>
      <x:c r="X157" s="186"/>
      <x:c r="Y157" s="186"/>
      <x:c r="Z157" s="186"/>
    </x:row>
    <x:row r="158">
      <x:c r="A158" s="186"/>
      <x:c r="B158" s="186"/>
      <x:c r="C158" s="186"/>
      <x:c r="D158" s="186"/>
      <x:c r="E158" s="186"/>
      <x:c r="F158" s="186"/>
      <x:c r="G158" s="186"/>
      <x:c r="H158" s="186"/>
      <x:c r="I158" s="186"/>
      <x:c r="J158" s="186"/>
      <x:c r="K158" s="186"/>
      <x:c r="L158" s="186"/>
      <x:c r="M158" s="186"/>
      <x:c r="N158" s="186"/>
      <x:c r="O158" s="186"/>
      <x:c r="P158" s="186"/>
      <x:c r="Q158" s="186"/>
      <x:c r="R158" s="186"/>
      <x:c r="S158" s="186"/>
      <x:c r="T158" s="186"/>
      <x:c r="U158" s="186"/>
      <x:c r="V158" s="186"/>
      <x:c r="W158" s="186"/>
      <x:c r="X158" s="186"/>
      <x:c r="Y158" s="186"/>
      <x:c r="Z158" s="186"/>
    </x:row>
    <x:row r="159">
      <x:c r="A159" s="186"/>
      <x:c r="B159" s="186"/>
      <x:c r="C159" s="186"/>
      <x:c r="D159" s="186"/>
      <x:c r="E159" s="186"/>
      <x:c r="F159" s="186"/>
      <x:c r="G159" s="186"/>
      <x:c r="H159" s="186"/>
      <x:c r="I159" s="186"/>
      <x:c r="J159" s="186"/>
      <x:c r="K159" s="186"/>
      <x:c r="L159" s="186"/>
      <x:c r="M159" s="186"/>
      <x:c r="N159" s="186"/>
      <x:c r="O159" s="186"/>
      <x:c r="P159" s="186"/>
      <x:c r="Q159" s="186"/>
      <x:c r="R159" s="186"/>
      <x:c r="S159" s="186"/>
      <x:c r="T159" s="186"/>
      <x:c r="U159" s="186"/>
      <x:c r="V159" s="186"/>
      <x:c r="W159" s="186"/>
      <x:c r="X159" s="186"/>
      <x:c r="Y159" s="186"/>
      <x:c r="Z159" s="186"/>
    </x:row>
    <x:row r="160">
      <x:c r="A160" s="186"/>
      <x:c r="B160" s="186"/>
      <x:c r="C160" s="186"/>
      <x:c r="D160" s="186"/>
      <x:c r="E160" s="186"/>
      <x:c r="F160" s="186"/>
      <x:c r="G160" s="186"/>
      <x:c r="H160" s="186"/>
      <x:c r="I160" s="186"/>
      <x:c r="J160" s="186"/>
      <x:c r="K160" s="186"/>
      <x:c r="L160" s="186"/>
      <x:c r="M160" s="186"/>
      <x:c r="N160" s="186"/>
      <x:c r="O160" s="186"/>
      <x:c r="P160" s="186"/>
      <x:c r="Q160" s="186"/>
      <x:c r="R160" s="186"/>
      <x:c r="S160" s="186"/>
      <x:c r="T160" s="186"/>
      <x:c r="U160" s="186"/>
      <x:c r="V160" s="186"/>
      <x:c r="W160" s="186"/>
      <x:c r="X160" s="186"/>
      <x:c r="Y160" s="186"/>
      <x:c r="Z160" s="186"/>
    </x:row>
    <x:row r="161">
      <x:c r="A161" s="186"/>
      <x:c r="B161" s="186"/>
      <x:c r="C161" s="186"/>
      <x:c r="D161" s="186"/>
      <x:c r="E161" s="186"/>
      <x:c r="F161" s="186"/>
      <x:c r="G161" s="186"/>
      <x:c r="H161" s="186"/>
      <x:c r="I161" s="186"/>
      <x:c r="J161" s="186"/>
      <x:c r="K161" s="186"/>
      <x:c r="L161" s="186"/>
      <x:c r="M161" s="186"/>
      <x:c r="N161" s="186"/>
      <x:c r="O161" s="186"/>
      <x:c r="P161" s="186"/>
      <x:c r="Q161" s="186"/>
      <x:c r="R161" s="186"/>
      <x:c r="S161" s="186"/>
      <x:c r="T161" s="186"/>
      <x:c r="U161" s="186"/>
      <x:c r="V161" s="186"/>
      <x:c r="W161" s="186"/>
      <x:c r="X161" s="186"/>
      <x:c r="Y161" s="186"/>
      <x:c r="Z161" s="186"/>
    </x:row>
    <x:row r="162">
      <x:c r="A162" s="186"/>
      <x:c r="B162" s="186"/>
      <x:c r="C162" s="186"/>
      <x:c r="D162" s="186"/>
      <x:c r="E162" s="186"/>
      <x:c r="F162" s="186"/>
      <x:c r="G162" s="186"/>
      <x:c r="H162" s="186"/>
      <x:c r="I162" s="186"/>
      <x:c r="J162" s="186"/>
      <x:c r="K162" s="186"/>
      <x:c r="L162" s="186"/>
      <x:c r="M162" s="186"/>
      <x:c r="N162" s="186"/>
      <x:c r="O162" s="186"/>
      <x:c r="P162" s="186"/>
      <x:c r="Q162" s="186"/>
      <x:c r="R162" s="186"/>
      <x:c r="S162" s="186"/>
      <x:c r="T162" s="186"/>
      <x:c r="U162" s="186"/>
      <x:c r="V162" s="186"/>
      <x:c r="W162" s="186"/>
      <x:c r="X162" s="186"/>
      <x:c r="Y162" s="186"/>
      <x:c r="Z162" s="186"/>
    </x:row>
    <x:row r="163">
      <x:c r="A163" s="186"/>
      <x:c r="B163" s="186"/>
      <x:c r="C163" s="186"/>
      <x:c r="D163" s="186"/>
      <x:c r="E163" s="186"/>
      <x:c r="F163" s="186"/>
      <x:c r="G163" s="186"/>
      <x:c r="H163" s="186"/>
      <x:c r="I163" s="186"/>
      <x:c r="J163" s="186"/>
      <x:c r="K163" s="186"/>
      <x:c r="L163" s="186"/>
      <x:c r="M163" s="186"/>
      <x:c r="N163" s="186"/>
      <x:c r="O163" s="186"/>
      <x:c r="P163" s="186"/>
      <x:c r="Q163" s="186"/>
      <x:c r="R163" s="186"/>
      <x:c r="S163" s="186"/>
      <x:c r="T163" s="186"/>
      <x:c r="U163" s="186"/>
      <x:c r="V163" s="186"/>
      <x:c r="W163" s="186"/>
      <x:c r="X163" s="186"/>
      <x:c r="Y163" s="186"/>
      <x:c r="Z163" s="186"/>
    </x:row>
    <x:row r="164">
      <x:c r="A164" s="186"/>
      <x:c r="B164" s="186"/>
      <x:c r="C164" s="186"/>
      <x:c r="D164" s="186"/>
      <x:c r="E164" s="186"/>
      <x:c r="F164" s="186"/>
      <x:c r="G164" s="186"/>
      <x:c r="H164" s="186"/>
      <x:c r="I164" s="186"/>
      <x:c r="J164" s="186"/>
      <x:c r="K164" s="186"/>
      <x:c r="L164" s="186"/>
      <x:c r="M164" s="186"/>
      <x:c r="N164" s="186"/>
      <x:c r="O164" s="186"/>
      <x:c r="P164" s="186"/>
      <x:c r="Q164" s="186"/>
      <x:c r="R164" s="186"/>
      <x:c r="S164" s="186"/>
      <x:c r="T164" s="186"/>
      <x:c r="U164" s="186"/>
      <x:c r="V164" s="186"/>
      <x:c r="W164" s="186"/>
      <x:c r="X164" s="186"/>
      <x:c r="Y164" s="186"/>
      <x:c r="Z164" s="186"/>
    </x:row>
    <x:row r="165">
      <x:c r="A165" s="186"/>
      <x:c r="B165" s="186"/>
      <x:c r="C165" s="186"/>
      <x:c r="D165" s="186"/>
      <x:c r="E165" s="186"/>
      <x:c r="F165" s="186"/>
      <x:c r="G165" s="186"/>
      <x:c r="H165" s="186"/>
      <x:c r="I165" s="186"/>
      <x:c r="J165" s="186"/>
      <x:c r="K165" s="186"/>
      <x:c r="L165" s="186"/>
      <x:c r="M165" s="186"/>
      <x:c r="N165" s="186"/>
      <x:c r="O165" s="186"/>
      <x:c r="P165" s="186"/>
      <x:c r="Q165" s="186"/>
      <x:c r="R165" s="186"/>
      <x:c r="S165" s="186"/>
      <x:c r="T165" s="186"/>
      <x:c r="U165" s="186"/>
      <x:c r="V165" s="186"/>
      <x:c r="W165" s="186"/>
      <x:c r="X165" s="186"/>
      <x:c r="Y165" s="186"/>
      <x:c r="Z165" s="186"/>
    </x:row>
    <x:row r="166">
      <x:c r="A166" s="186"/>
      <x:c r="B166" s="186"/>
      <x:c r="C166" s="186"/>
      <x:c r="D166" s="186"/>
      <x:c r="E166" s="186"/>
      <x:c r="F166" s="186"/>
      <x:c r="G166" s="186"/>
      <x:c r="H166" s="186"/>
      <x:c r="I166" s="186"/>
      <x:c r="J166" s="186"/>
      <x:c r="K166" s="186"/>
      <x:c r="L166" s="186"/>
      <x:c r="M166" s="186"/>
      <x:c r="N166" s="186"/>
      <x:c r="O166" s="186"/>
      <x:c r="P166" s="186"/>
      <x:c r="Q166" s="186"/>
      <x:c r="R166" s="186"/>
      <x:c r="S166" s="186"/>
      <x:c r="T166" s="186"/>
      <x:c r="U166" s="186"/>
      <x:c r="V166" s="186"/>
      <x:c r="W166" s="186"/>
      <x:c r="X166" s="186"/>
      <x:c r="Y166" s="186"/>
      <x:c r="Z166" s="186"/>
    </x:row>
    <x:row r="167">
      <x:c r="A167" s="186"/>
      <x:c r="B167" s="186"/>
      <x:c r="C167" s="186"/>
      <x:c r="D167" s="186"/>
      <x:c r="E167" s="186"/>
      <x:c r="F167" s="186"/>
      <x:c r="G167" s="186"/>
      <x:c r="H167" s="186"/>
      <x:c r="I167" s="186"/>
      <x:c r="J167" s="186"/>
      <x:c r="K167" s="186"/>
      <x:c r="L167" s="186"/>
      <x:c r="M167" s="186"/>
      <x:c r="N167" s="186"/>
      <x:c r="O167" s="186"/>
      <x:c r="P167" s="186"/>
      <x:c r="Q167" s="186"/>
      <x:c r="R167" s="186"/>
      <x:c r="S167" s="186"/>
      <x:c r="T167" s="186"/>
      <x:c r="U167" s="186"/>
      <x:c r="V167" s="186"/>
      <x:c r="W167" s="186"/>
      <x:c r="X167" s="186"/>
      <x:c r="Y167" s="186"/>
      <x:c r="Z167" s="186"/>
    </x:row>
    <x:row r="168">
      <x:c r="A168" s="186"/>
      <x:c r="B168" s="186"/>
      <x:c r="C168" s="186"/>
      <x:c r="D168" s="186"/>
      <x:c r="E168" s="186"/>
      <x:c r="F168" s="186"/>
      <x:c r="G168" s="186"/>
      <x:c r="H168" s="186"/>
      <x:c r="I168" s="186"/>
      <x:c r="J168" s="186"/>
      <x:c r="K168" s="186"/>
      <x:c r="L168" s="186"/>
      <x:c r="M168" s="186"/>
      <x:c r="N168" s="186"/>
      <x:c r="O168" s="186"/>
      <x:c r="P168" s="186"/>
      <x:c r="Q168" s="186"/>
      <x:c r="R168" s="186"/>
      <x:c r="S168" s="186"/>
      <x:c r="T168" s="186"/>
      <x:c r="U168" s="186"/>
      <x:c r="V168" s="186"/>
      <x:c r="W168" s="186"/>
      <x:c r="X168" s="186"/>
      <x:c r="Y168" s="186"/>
      <x:c r="Z168" s="186"/>
    </x:row>
    <x:row r="169">
      <x:c r="A169" s="186"/>
      <x:c r="B169" s="186"/>
      <x:c r="C169" s="186"/>
      <x:c r="D169" s="186"/>
      <x:c r="E169" s="186"/>
      <x:c r="F169" s="186"/>
      <x:c r="G169" s="186"/>
      <x:c r="H169" s="186"/>
      <x:c r="I169" s="186"/>
      <x:c r="J169" s="186"/>
      <x:c r="K169" s="186"/>
      <x:c r="L169" s="186"/>
      <x:c r="M169" s="186"/>
      <x:c r="N169" s="186"/>
      <x:c r="O169" s="186"/>
      <x:c r="P169" s="186"/>
      <x:c r="Q169" s="186"/>
      <x:c r="R169" s="186"/>
      <x:c r="S169" s="186"/>
      <x:c r="T169" s="186"/>
      <x:c r="U169" s="186"/>
      <x:c r="V169" s="186"/>
      <x:c r="W169" s="186"/>
      <x:c r="X169" s="186"/>
      <x:c r="Y169" s="186"/>
      <x:c r="Z169" s="186"/>
    </x:row>
    <x:row r="170">
      <x:c r="A170" s="186"/>
      <x:c r="B170" s="186"/>
      <x:c r="C170" s="186"/>
      <x:c r="D170" s="186"/>
      <x:c r="E170" s="186"/>
      <x:c r="F170" s="186"/>
      <x:c r="G170" s="186"/>
      <x:c r="H170" s="186"/>
      <x:c r="I170" s="186"/>
      <x:c r="J170" s="186"/>
      <x:c r="K170" s="186"/>
      <x:c r="L170" s="186"/>
      <x:c r="M170" s="186"/>
      <x:c r="N170" s="186"/>
      <x:c r="O170" s="186"/>
      <x:c r="P170" s="186"/>
      <x:c r="Q170" s="186"/>
      <x:c r="R170" s="186"/>
      <x:c r="S170" s="186"/>
      <x:c r="T170" s="186"/>
      <x:c r="U170" s="186"/>
      <x:c r="V170" s="186"/>
      <x:c r="W170" s="186"/>
      <x:c r="X170" s="186"/>
      <x:c r="Y170" s="186"/>
      <x:c r="Z170" s="186"/>
    </x:row>
    <x:row r="171">
      <x:c r="A171" s="186"/>
      <x:c r="B171" s="186"/>
      <x:c r="C171" s="186"/>
      <x:c r="D171" s="186"/>
      <x:c r="E171" s="186"/>
      <x:c r="F171" s="186"/>
      <x:c r="G171" s="186"/>
      <x:c r="H171" s="186"/>
      <x:c r="I171" s="186"/>
      <x:c r="J171" s="186"/>
      <x:c r="K171" s="186"/>
      <x:c r="L171" s="186"/>
      <x:c r="M171" s="186"/>
      <x:c r="N171" s="186"/>
      <x:c r="O171" s="186"/>
      <x:c r="P171" s="186"/>
      <x:c r="Q171" s="186"/>
      <x:c r="R171" s="186"/>
      <x:c r="S171" s="186"/>
      <x:c r="T171" s="186"/>
      <x:c r="U171" s="186"/>
      <x:c r="V171" s="186"/>
      <x:c r="W171" s="186"/>
      <x:c r="X171" s="186"/>
      <x:c r="Y171" s="186"/>
      <x:c r="Z171" s="186"/>
    </x:row>
    <x:row r="172">
      <x:c r="A172" s="186"/>
      <x:c r="B172" s="186"/>
      <x:c r="C172" s="186"/>
      <x:c r="D172" s="186"/>
      <x:c r="E172" s="186"/>
      <x:c r="F172" s="186"/>
      <x:c r="G172" s="186"/>
      <x:c r="H172" s="186"/>
      <x:c r="I172" s="186"/>
      <x:c r="J172" s="186"/>
      <x:c r="K172" s="186"/>
      <x:c r="L172" s="186"/>
      <x:c r="M172" s="186"/>
      <x:c r="N172" s="186"/>
      <x:c r="O172" s="186"/>
      <x:c r="P172" s="186"/>
      <x:c r="Q172" s="186"/>
      <x:c r="R172" s="186"/>
      <x:c r="S172" s="186"/>
      <x:c r="T172" s="186"/>
      <x:c r="U172" s="186"/>
      <x:c r="V172" s="186"/>
      <x:c r="W172" s="186"/>
      <x:c r="X172" s="186"/>
      <x:c r="Y172" s="186"/>
      <x:c r="Z172" s="186"/>
    </x:row>
    <x:row r="173">
      <x:c r="A173" s="186"/>
      <x:c r="B173" s="186"/>
      <x:c r="C173" s="186"/>
      <x:c r="D173" s="186"/>
      <x:c r="E173" s="186"/>
      <x:c r="F173" s="186"/>
      <x:c r="G173" s="186"/>
      <x:c r="H173" s="186"/>
      <x:c r="I173" s="186"/>
      <x:c r="J173" s="186"/>
      <x:c r="K173" s="186"/>
      <x:c r="L173" s="186"/>
      <x:c r="M173" s="186"/>
      <x:c r="N173" s="186"/>
      <x:c r="O173" s="186"/>
      <x:c r="P173" s="186"/>
      <x:c r="Q173" s="186"/>
      <x:c r="R173" s="186"/>
      <x:c r="S173" s="186"/>
      <x:c r="T173" s="186"/>
      <x:c r="U173" s="186"/>
      <x:c r="V173" s="186"/>
      <x:c r="W173" s="186"/>
      <x:c r="X173" s="186"/>
      <x:c r="Y173" s="186"/>
      <x:c r="Z173" s="186"/>
    </x:row>
    <x:row r="174">
      <x:c r="A174" s="186"/>
      <x:c r="B174" s="186"/>
      <x:c r="C174" s="186"/>
      <x:c r="D174" s="186"/>
      <x:c r="E174" s="186"/>
      <x:c r="F174" s="186"/>
      <x:c r="G174" s="186"/>
      <x:c r="H174" s="186"/>
      <x:c r="I174" s="186"/>
      <x:c r="J174" s="186"/>
      <x:c r="K174" s="186"/>
      <x:c r="L174" s="186"/>
      <x:c r="M174" s="186"/>
      <x:c r="N174" s="186"/>
      <x:c r="O174" s="186"/>
      <x:c r="P174" s="186"/>
      <x:c r="Q174" s="186"/>
      <x:c r="R174" s="186"/>
      <x:c r="S174" s="186"/>
      <x:c r="T174" s="186"/>
      <x:c r="U174" s="186"/>
      <x:c r="V174" s="186"/>
      <x:c r="W174" s="186"/>
      <x:c r="X174" s="186"/>
      <x:c r="Y174" s="186"/>
      <x:c r="Z174" s="186"/>
    </x:row>
    <x:row r="175">
      <x:c r="A175" s="186"/>
      <x:c r="B175" s="186"/>
      <x:c r="C175" s="186"/>
      <x:c r="D175" s="186"/>
      <x:c r="E175" s="186"/>
      <x:c r="F175" s="186"/>
      <x:c r="G175" s="186"/>
      <x:c r="H175" s="186"/>
      <x:c r="I175" s="186"/>
      <x:c r="J175" s="186"/>
      <x:c r="K175" s="186"/>
      <x:c r="L175" s="186"/>
      <x:c r="M175" s="186"/>
      <x:c r="N175" s="186"/>
      <x:c r="O175" s="186"/>
      <x:c r="P175" s="186"/>
      <x:c r="Q175" s="186"/>
      <x:c r="R175" s="186"/>
      <x:c r="S175" s="186"/>
      <x:c r="T175" s="186"/>
      <x:c r="U175" s="186"/>
      <x:c r="V175" s="186"/>
      <x:c r="W175" s="186"/>
      <x:c r="X175" s="186"/>
      <x:c r="Y175" s="186"/>
      <x:c r="Z175" s="186"/>
    </x:row>
    <x:row r="176">
      <x:c r="A176" s="186"/>
      <x:c r="B176" s="186"/>
      <x:c r="C176" s="186"/>
      <x:c r="D176" s="186"/>
      <x:c r="E176" s="186"/>
      <x:c r="F176" s="186"/>
      <x:c r="G176" s="186"/>
      <x:c r="H176" s="186"/>
      <x:c r="I176" s="186"/>
      <x:c r="J176" s="186"/>
      <x:c r="K176" s="186"/>
      <x:c r="L176" s="186"/>
      <x:c r="M176" s="186"/>
      <x:c r="N176" s="186"/>
      <x:c r="O176" s="186"/>
      <x:c r="P176" s="186"/>
      <x:c r="Q176" s="186"/>
      <x:c r="R176" s="186"/>
      <x:c r="S176" s="186"/>
      <x:c r="T176" s="186"/>
      <x:c r="U176" s="186"/>
      <x:c r="V176" s="186"/>
      <x:c r="W176" s="186"/>
      <x:c r="X176" s="186"/>
      <x:c r="Y176" s="186"/>
      <x:c r="Z176" s="186"/>
    </x:row>
    <x:row r="177">
      <x:c r="A177" s="186"/>
      <x:c r="B177" s="186"/>
      <x:c r="C177" s="186"/>
      <x:c r="D177" s="186"/>
      <x:c r="E177" s="186"/>
      <x:c r="F177" s="186"/>
      <x:c r="G177" s="186"/>
      <x:c r="H177" s="186"/>
      <x:c r="I177" s="186"/>
      <x:c r="J177" s="186"/>
      <x:c r="K177" s="186"/>
      <x:c r="L177" s="186"/>
      <x:c r="M177" s="186"/>
      <x:c r="N177" s="186"/>
      <x:c r="O177" s="186"/>
      <x:c r="P177" s="186"/>
      <x:c r="Q177" s="186"/>
      <x:c r="R177" s="186"/>
      <x:c r="S177" s="186"/>
      <x:c r="T177" s="186"/>
      <x:c r="U177" s="186"/>
      <x:c r="V177" s="186"/>
      <x:c r="W177" s="186"/>
      <x:c r="X177" s="186"/>
      <x:c r="Y177" s="186"/>
      <x:c r="Z177" s="186"/>
    </x:row>
    <x:row r="178">
      <x:c r="A178" s="186"/>
      <x:c r="B178" s="186"/>
      <x:c r="C178" s="186"/>
      <x:c r="D178" s="186"/>
      <x:c r="E178" s="186"/>
      <x:c r="F178" s="186"/>
      <x:c r="G178" s="186"/>
      <x:c r="H178" s="186"/>
      <x:c r="I178" s="186"/>
      <x:c r="J178" s="186"/>
      <x:c r="K178" s="186"/>
      <x:c r="L178" s="186"/>
      <x:c r="M178" s="186"/>
      <x:c r="N178" s="186"/>
      <x:c r="O178" s="186"/>
      <x:c r="P178" s="186"/>
      <x:c r="Q178" s="186"/>
      <x:c r="R178" s="186"/>
      <x:c r="S178" s="186"/>
      <x:c r="T178" s="186"/>
      <x:c r="U178" s="186"/>
      <x:c r="V178" s="186"/>
      <x:c r="W178" s="186"/>
      <x:c r="X178" s="186"/>
      <x:c r="Y178" s="186"/>
      <x:c r="Z178" s="186"/>
    </x:row>
    <x:row r="179">
      <x:c r="A179" s="186"/>
      <x:c r="B179" s="186"/>
      <x:c r="C179" s="186"/>
      <x:c r="D179" s="186"/>
      <x:c r="E179" s="186"/>
      <x:c r="F179" s="186"/>
      <x:c r="G179" s="186"/>
      <x:c r="H179" s="186"/>
      <x:c r="I179" s="186"/>
      <x:c r="J179" s="186"/>
      <x:c r="K179" s="186"/>
      <x:c r="L179" s="186"/>
      <x:c r="M179" s="186"/>
      <x:c r="N179" s="186"/>
      <x:c r="O179" s="186"/>
      <x:c r="P179" s="186"/>
      <x:c r="Q179" s="186"/>
      <x:c r="R179" s="186"/>
      <x:c r="S179" s="186"/>
      <x:c r="T179" s="186"/>
      <x:c r="U179" s="186"/>
      <x:c r="V179" s="186"/>
      <x:c r="W179" s="186"/>
      <x:c r="X179" s="186"/>
      <x:c r="Y179" s="186"/>
      <x:c r="Z179" s="186"/>
    </x:row>
    <x:row r="180">
      <x:c r="A180" s="186"/>
      <x:c r="B180" s="186"/>
      <x:c r="C180" s="186"/>
      <x:c r="D180" s="186"/>
      <x:c r="E180" s="186"/>
      <x:c r="F180" s="186"/>
      <x:c r="G180" s="186"/>
      <x:c r="H180" s="186"/>
      <x:c r="I180" s="186"/>
      <x:c r="J180" s="186"/>
      <x:c r="K180" s="186"/>
      <x:c r="L180" s="186"/>
      <x:c r="M180" s="186"/>
      <x:c r="N180" s="186"/>
      <x:c r="O180" s="186"/>
      <x:c r="P180" s="186"/>
      <x:c r="Q180" s="186"/>
      <x:c r="R180" s="186"/>
      <x:c r="S180" s="186"/>
      <x:c r="T180" s="186"/>
      <x:c r="U180" s="186"/>
      <x:c r="V180" s="186"/>
      <x:c r="W180" s="186"/>
      <x:c r="X180" s="186"/>
      <x:c r="Y180" s="186"/>
      <x:c r="Z180" s="186"/>
    </x:row>
    <x:row r="181">
      <x:c r="A181" s="186"/>
      <x:c r="B181" s="186"/>
      <x:c r="C181" s="186"/>
      <x:c r="D181" s="186"/>
      <x:c r="E181" s="186"/>
      <x:c r="F181" s="186"/>
      <x:c r="G181" s="186"/>
      <x:c r="H181" s="186"/>
      <x:c r="I181" s="186"/>
      <x:c r="J181" s="186"/>
      <x:c r="K181" s="186"/>
      <x:c r="L181" s="186"/>
      <x:c r="M181" s="186"/>
      <x:c r="N181" s="186"/>
      <x:c r="O181" s="186"/>
      <x:c r="P181" s="186"/>
      <x:c r="Q181" s="186"/>
      <x:c r="R181" s="186"/>
      <x:c r="S181" s="186"/>
      <x:c r="T181" s="186"/>
      <x:c r="U181" s="186"/>
      <x:c r="V181" s="186"/>
      <x:c r="W181" s="186"/>
      <x:c r="X181" s="186"/>
      <x:c r="Y181" s="186"/>
      <x:c r="Z181" s="186"/>
    </x:row>
    <x:row r="182">
      <x:c r="A182" s="186"/>
      <x:c r="B182" s="186"/>
      <x:c r="C182" s="186"/>
      <x:c r="D182" s="186"/>
      <x:c r="E182" s="186"/>
      <x:c r="F182" s="186"/>
      <x:c r="G182" s="186"/>
      <x:c r="H182" s="186"/>
      <x:c r="I182" s="186"/>
      <x:c r="J182" s="186"/>
      <x:c r="K182" s="186"/>
      <x:c r="L182" s="186"/>
      <x:c r="M182" s="186"/>
      <x:c r="N182" s="186"/>
      <x:c r="O182" s="186"/>
      <x:c r="P182" s="186"/>
      <x:c r="Q182" s="186"/>
      <x:c r="R182" s="186"/>
      <x:c r="S182" s="186"/>
      <x:c r="T182" s="186"/>
      <x:c r="U182" s="186"/>
      <x:c r="V182" s="186"/>
      <x:c r="W182" s="186"/>
      <x:c r="X182" s="186"/>
      <x:c r="Y182" s="186"/>
      <x:c r="Z182" s="186"/>
    </x:row>
    <x:row r="183">
      <x:c r="A183" s="186"/>
      <x:c r="B183" s="186"/>
      <x:c r="C183" s="186"/>
      <x:c r="D183" s="186"/>
      <x:c r="E183" s="186"/>
      <x:c r="F183" s="186"/>
      <x:c r="G183" s="186"/>
      <x:c r="H183" s="186"/>
      <x:c r="I183" s="186"/>
      <x:c r="J183" s="186"/>
      <x:c r="K183" s="186"/>
      <x:c r="L183" s="186"/>
      <x:c r="M183" s="186"/>
      <x:c r="N183" s="186"/>
      <x:c r="O183" s="186"/>
      <x:c r="P183" s="186"/>
      <x:c r="Q183" s="186"/>
      <x:c r="R183" s="186"/>
      <x:c r="S183" s="186"/>
      <x:c r="T183" s="186"/>
      <x:c r="U183" s="186"/>
      <x:c r="V183" s="186"/>
      <x:c r="W183" s="186"/>
      <x:c r="X183" s="186"/>
      <x:c r="Y183" s="186"/>
      <x:c r="Z183" s="186"/>
    </x:row>
    <x:row r="184">
      <x:c r="A184" s="186"/>
      <x:c r="B184" s="186"/>
      <x:c r="C184" s="186"/>
      <x:c r="D184" s="186"/>
      <x:c r="E184" s="186"/>
      <x:c r="F184" s="186"/>
      <x:c r="G184" s="186"/>
      <x:c r="H184" s="186"/>
      <x:c r="I184" s="186"/>
      <x:c r="J184" s="186"/>
      <x:c r="K184" s="186"/>
      <x:c r="L184" s="186"/>
      <x:c r="M184" s="186"/>
      <x:c r="N184" s="186"/>
      <x:c r="O184" s="186"/>
      <x:c r="P184" s="186"/>
      <x:c r="Q184" s="186"/>
      <x:c r="R184" s="186"/>
      <x:c r="S184" s="186"/>
      <x:c r="T184" s="186"/>
      <x:c r="U184" s="186"/>
      <x:c r="V184" s="186"/>
      <x:c r="W184" s="186"/>
      <x:c r="X184" s="186"/>
      <x:c r="Y184" s="186"/>
      <x:c r="Z184" s="186"/>
    </x:row>
    <x:row r="185">
      <x:c r="A185" s="186"/>
      <x:c r="B185" s="186"/>
      <x:c r="C185" s="186"/>
      <x:c r="D185" s="186"/>
      <x:c r="E185" s="186"/>
      <x:c r="F185" s="186"/>
      <x:c r="G185" s="186"/>
      <x:c r="H185" s="186"/>
      <x:c r="I185" s="186"/>
      <x:c r="J185" s="186"/>
      <x:c r="K185" s="186"/>
      <x:c r="L185" s="186"/>
      <x:c r="M185" s="186"/>
      <x:c r="N185" s="186"/>
      <x:c r="O185" s="186"/>
      <x:c r="P185" s="186"/>
      <x:c r="Q185" s="186"/>
      <x:c r="R185" s="186"/>
      <x:c r="S185" s="186"/>
      <x:c r="T185" s="186"/>
      <x:c r="U185" s="186"/>
      <x:c r="V185" s="186"/>
      <x:c r="W185" s="186"/>
      <x:c r="X185" s="186"/>
      <x:c r="Y185" s="186"/>
      <x:c r="Z185" s="186"/>
    </x:row>
    <x:row r="186">
      <x:c r="A186" s="186"/>
      <x:c r="B186" s="186"/>
      <x:c r="C186" s="186"/>
      <x:c r="D186" s="186"/>
      <x:c r="E186" s="186"/>
      <x:c r="F186" s="186"/>
      <x:c r="G186" s="186"/>
      <x:c r="H186" s="186"/>
      <x:c r="I186" s="186"/>
      <x:c r="J186" s="186"/>
      <x:c r="K186" s="186"/>
      <x:c r="L186" s="186"/>
      <x:c r="M186" s="186"/>
      <x:c r="N186" s="186"/>
      <x:c r="O186" s="186"/>
      <x:c r="P186" s="186"/>
      <x:c r="Q186" s="186"/>
      <x:c r="R186" s="186"/>
      <x:c r="S186" s="186"/>
      <x:c r="T186" s="186"/>
      <x:c r="U186" s="186"/>
      <x:c r="V186" s="186"/>
      <x:c r="W186" s="186"/>
      <x:c r="X186" s="186"/>
      <x:c r="Y186" s="186"/>
      <x:c r="Z186" s="186"/>
    </x:row>
    <x:row r="187">
      <x:c r="A187" s="186"/>
      <x:c r="B187" s="186"/>
      <x:c r="C187" s="186"/>
      <x:c r="D187" s="186"/>
      <x:c r="E187" s="186"/>
      <x:c r="F187" s="186"/>
      <x:c r="G187" s="186"/>
      <x:c r="H187" s="186"/>
      <x:c r="I187" s="186"/>
      <x:c r="J187" s="186"/>
      <x:c r="K187" s="186"/>
      <x:c r="L187" s="186"/>
      <x:c r="M187" s="186"/>
      <x:c r="N187" s="186"/>
      <x:c r="O187" s="186"/>
      <x:c r="P187" s="186"/>
      <x:c r="Q187" s="186"/>
      <x:c r="R187" s="186"/>
      <x:c r="S187" s="186"/>
      <x:c r="T187" s="186"/>
      <x:c r="U187" s="186"/>
      <x:c r="V187" s="186"/>
      <x:c r="W187" s="186"/>
      <x:c r="X187" s="186"/>
      <x:c r="Y187" s="186"/>
      <x:c r="Z187" s="186"/>
    </x:row>
    <x:row r="188">
      <x:c r="A188" s="186"/>
      <x:c r="B188" s="186"/>
      <x:c r="C188" s="186"/>
      <x:c r="D188" s="186"/>
      <x:c r="E188" s="186"/>
      <x:c r="F188" s="186"/>
      <x:c r="G188" s="186"/>
      <x:c r="H188" s="186"/>
      <x:c r="I188" s="186"/>
      <x:c r="J188" s="186"/>
      <x:c r="K188" s="186"/>
      <x:c r="L188" s="186"/>
      <x:c r="M188" s="186"/>
      <x:c r="N188" s="186"/>
      <x:c r="O188" s="186"/>
      <x:c r="P188" s="186"/>
      <x:c r="Q188" s="186"/>
      <x:c r="R188" s="186"/>
      <x:c r="S188" s="186"/>
      <x:c r="T188" s="186"/>
      <x:c r="U188" s="186"/>
      <x:c r="V188" s="186"/>
      <x:c r="W188" s="186"/>
      <x:c r="X188" s="186"/>
      <x:c r="Y188" s="186"/>
      <x:c r="Z188" s="186"/>
    </x:row>
    <x:row r="189">
      <x:c r="A189" s="186"/>
      <x:c r="B189" s="186"/>
      <x:c r="C189" s="186"/>
      <x:c r="D189" s="186"/>
      <x:c r="E189" s="186"/>
      <x:c r="F189" s="186"/>
      <x:c r="G189" s="186"/>
      <x:c r="H189" s="186"/>
      <x:c r="I189" s="186"/>
      <x:c r="J189" s="186"/>
      <x:c r="K189" s="186"/>
      <x:c r="L189" s="186"/>
      <x:c r="M189" s="186"/>
      <x:c r="N189" s="186"/>
      <x:c r="O189" s="186"/>
      <x:c r="P189" s="186"/>
      <x:c r="Q189" s="186"/>
      <x:c r="R189" s="186"/>
      <x:c r="S189" s="186"/>
      <x:c r="T189" s="186"/>
      <x:c r="U189" s="186"/>
      <x:c r="V189" s="186"/>
      <x:c r="W189" s="186"/>
      <x:c r="X189" s="186"/>
      <x:c r="Y189" s="186"/>
      <x:c r="Z189" s="186"/>
    </x:row>
    <x:row r="190">
      <x:c r="A190" s="186"/>
      <x:c r="B190" s="186"/>
      <x:c r="C190" s="186"/>
      <x:c r="D190" s="186"/>
      <x:c r="E190" s="186"/>
      <x:c r="F190" s="186"/>
      <x:c r="G190" s="186"/>
      <x:c r="H190" s="186"/>
      <x:c r="I190" s="186"/>
      <x:c r="J190" s="186"/>
      <x:c r="K190" s="186"/>
      <x:c r="L190" s="186"/>
      <x:c r="M190" s="186"/>
      <x:c r="N190" s="186"/>
      <x:c r="O190" s="186"/>
      <x:c r="P190" s="186"/>
      <x:c r="Q190" s="186"/>
      <x:c r="R190" s="186"/>
      <x:c r="S190" s="186"/>
      <x:c r="T190" s="186"/>
      <x:c r="U190" s="186"/>
      <x:c r="V190" s="186"/>
      <x:c r="W190" s="186"/>
      <x:c r="X190" s="186"/>
      <x:c r="Y190" s="186"/>
      <x:c r="Z190" s="186"/>
    </x:row>
    <x:row r="191">
      <x:c r="A191" s="186"/>
      <x:c r="B191" s="186"/>
      <x:c r="C191" s="186"/>
      <x:c r="D191" s="186"/>
      <x:c r="E191" s="186"/>
      <x:c r="F191" s="186"/>
      <x:c r="G191" s="186"/>
      <x:c r="H191" s="186"/>
      <x:c r="I191" s="186"/>
      <x:c r="J191" s="186"/>
      <x:c r="K191" s="186"/>
      <x:c r="L191" s="186"/>
      <x:c r="M191" s="186"/>
      <x:c r="N191" s="186"/>
      <x:c r="O191" s="186"/>
      <x:c r="P191" s="186"/>
      <x:c r="Q191" s="186"/>
      <x:c r="R191" s="186"/>
      <x:c r="S191" s="186"/>
      <x:c r="T191" s="186"/>
      <x:c r="U191" s="186"/>
      <x:c r="V191" s="186"/>
      <x:c r="W191" s="186"/>
      <x:c r="X191" s="186"/>
      <x:c r="Y191" s="186"/>
      <x:c r="Z191" s="186"/>
    </x:row>
    <x:row r="192">
      <x:c r="A192" s="186"/>
      <x:c r="B192" s="186"/>
      <x:c r="C192" s="186"/>
      <x:c r="D192" s="186"/>
      <x:c r="E192" s="186"/>
      <x:c r="F192" s="186"/>
      <x:c r="G192" s="186"/>
      <x:c r="H192" s="186"/>
      <x:c r="I192" s="186"/>
      <x:c r="J192" s="186"/>
      <x:c r="K192" s="186"/>
      <x:c r="L192" s="186"/>
      <x:c r="M192" s="186"/>
      <x:c r="N192" s="186"/>
      <x:c r="O192" s="186"/>
      <x:c r="P192" s="186"/>
      <x:c r="Q192" s="186"/>
      <x:c r="R192" s="186"/>
      <x:c r="S192" s="186"/>
      <x:c r="T192" s="186"/>
      <x:c r="U192" s="186"/>
      <x:c r="V192" s="186"/>
      <x:c r="W192" s="186"/>
      <x:c r="X192" s="186"/>
      <x:c r="Y192" s="186"/>
      <x:c r="Z192" s="186"/>
    </x:row>
    <x:row r="193">
      <x:c r="A193" s="186"/>
      <x:c r="B193" s="186"/>
      <x:c r="C193" s="186"/>
      <x:c r="D193" s="186"/>
      <x:c r="E193" s="186"/>
      <x:c r="F193" s="186"/>
      <x:c r="G193" s="186"/>
      <x:c r="H193" s="186"/>
      <x:c r="I193" s="186"/>
      <x:c r="J193" s="186"/>
      <x:c r="K193" s="186"/>
      <x:c r="L193" s="186"/>
      <x:c r="M193" s="186"/>
      <x:c r="N193" s="186"/>
      <x:c r="O193" s="186"/>
      <x:c r="P193" s="186"/>
      <x:c r="Q193" s="186"/>
      <x:c r="R193" s="186"/>
      <x:c r="S193" s="186"/>
      <x:c r="T193" s="186"/>
      <x:c r="U193" s="186"/>
      <x:c r="V193" s="186"/>
      <x:c r="W193" s="186"/>
      <x:c r="X193" s="186"/>
      <x:c r="Y193" s="186"/>
      <x:c r="Z193" s="186"/>
    </x:row>
    <x:row r="194">
      <x:c r="A194" s="186"/>
      <x:c r="B194" s="186"/>
      <x:c r="C194" s="186"/>
      <x:c r="D194" s="186"/>
      <x:c r="E194" s="186"/>
      <x:c r="F194" s="186"/>
      <x:c r="G194" s="186"/>
      <x:c r="H194" s="186"/>
      <x:c r="I194" s="186"/>
      <x:c r="J194" s="186"/>
      <x:c r="K194" s="186"/>
      <x:c r="L194" s="186"/>
      <x:c r="M194" s="186"/>
      <x:c r="N194" s="186"/>
      <x:c r="O194" s="186"/>
      <x:c r="P194" s="186"/>
      <x:c r="Q194" s="186"/>
      <x:c r="R194" s="186"/>
      <x:c r="S194" s="186"/>
      <x:c r="T194" s="186"/>
      <x:c r="U194" s="186"/>
      <x:c r="V194" s="186"/>
      <x:c r="W194" s="186"/>
      <x:c r="X194" s="186"/>
      <x:c r="Y194" s="186"/>
      <x:c r="Z194" s="186"/>
    </x:row>
    <x:row r="195">
      <x:c r="A195" s="186"/>
      <x:c r="B195" s="186"/>
      <x:c r="C195" s="186"/>
      <x:c r="D195" s="186"/>
      <x:c r="E195" s="186"/>
      <x:c r="F195" s="186"/>
      <x:c r="G195" s="186"/>
      <x:c r="H195" s="186"/>
      <x:c r="I195" s="186"/>
      <x:c r="J195" s="186"/>
      <x:c r="K195" s="186"/>
      <x:c r="L195" s="186"/>
      <x:c r="M195" s="186"/>
      <x:c r="N195" s="186"/>
      <x:c r="O195" s="186"/>
      <x:c r="P195" s="186"/>
      <x:c r="Q195" s="186"/>
      <x:c r="R195" s="186"/>
      <x:c r="S195" s="186"/>
      <x:c r="T195" s="186"/>
      <x:c r="U195" s="186"/>
      <x:c r="V195" s="186"/>
      <x:c r="W195" s="186"/>
      <x:c r="X195" s="186"/>
      <x:c r="Y195" s="186"/>
      <x:c r="Z195" s="186"/>
    </x:row>
    <x:row r="196">
      <x:c r="A196" s="186"/>
      <x:c r="B196" s="186"/>
      <x:c r="C196" s="186"/>
      <x:c r="D196" s="186"/>
      <x:c r="E196" s="186"/>
      <x:c r="F196" s="186"/>
      <x:c r="G196" s="186"/>
      <x:c r="H196" s="186"/>
      <x:c r="I196" s="186"/>
      <x:c r="J196" s="186"/>
      <x:c r="K196" s="186"/>
      <x:c r="L196" s="186"/>
      <x:c r="M196" s="186"/>
      <x:c r="N196" s="186"/>
      <x:c r="O196" s="186"/>
      <x:c r="P196" s="186"/>
      <x:c r="Q196" s="186"/>
      <x:c r="R196" s="186"/>
      <x:c r="S196" s="186"/>
      <x:c r="T196" s="186"/>
      <x:c r="U196" s="186"/>
      <x:c r="V196" s="186"/>
      <x:c r="W196" s="186"/>
      <x:c r="X196" s="186"/>
      <x:c r="Y196" s="186"/>
      <x:c r="Z196" s="186"/>
    </x:row>
    <x:row r="197">
      <x:c r="A197" s="186"/>
      <x:c r="B197" s="186"/>
      <x:c r="C197" s="186"/>
      <x:c r="D197" s="186"/>
      <x:c r="E197" s="186"/>
      <x:c r="F197" s="186"/>
      <x:c r="G197" s="186"/>
      <x:c r="H197" s="186"/>
      <x:c r="I197" s="186"/>
      <x:c r="J197" s="186"/>
      <x:c r="K197" s="186"/>
      <x:c r="L197" s="186"/>
      <x:c r="M197" s="186"/>
      <x:c r="N197" s="186"/>
      <x:c r="O197" s="186"/>
      <x:c r="P197" s="186"/>
      <x:c r="Q197" s="186"/>
      <x:c r="R197" s="186"/>
      <x:c r="S197" s="186"/>
      <x:c r="T197" s="186"/>
      <x:c r="U197" s="186"/>
      <x:c r="V197" s="186"/>
      <x:c r="W197" s="186"/>
      <x:c r="X197" s="186"/>
      <x:c r="Y197" s="186"/>
      <x:c r="Z197" s="186"/>
    </x:row>
    <x:row r="198">
      <x:c r="A198" s="186"/>
      <x:c r="B198" s="186"/>
      <x:c r="C198" s="186"/>
      <x:c r="D198" s="186"/>
      <x:c r="E198" s="186"/>
      <x:c r="F198" s="186"/>
      <x:c r="G198" s="186"/>
      <x:c r="H198" s="186"/>
      <x:c r="I198" s="186"/>
      <x:c r="J198" s="186"/>
      <x:c r="K198" s="186"/>
      <x:c r="L198" s="186"/>
      <x:c r="M198" s="186"/>
      <x:c r="N198" s="186"/>
      <x:c r="O198" s="186"/>
      <x:c r="P198" s="186"/>
      <x:c r="Q198" s="186"/>
      <x:c r="R198" s="186"/>
      <x:c r="S198" s="186"/>
      <x:c r="T198" s="186"/>
      <x:c r="U198" s="186"/>
      <x:c r="V198" s="186"/>
      <x:c r="W198" s="186"/>
      <x:c r="X198" s="186"/>
      <x:c r="Y198" s="186"/>
      <x:c r="Z198" s="186"/>
    </x:row>
    <x:row r="199">
      <x:c r="A199" s="186"/>
      <x:c r="B199" s="186"/>
      <x:c r="C199" s="186"/>
      <x:c r="D199" s="186"/>
      <x:c r="E199" s="186"/>
      <x:c r="F199" s="186"/>
      <x:c r="G199" s="186"/>
      <x:c r="H199" s="186"/>
      <x:c r="I199" s="186"/>
      <x:c r="J199" s="186"/>
      <x:c r="K199" s="186"/>
      <x:c r="L199" s="186"/>
      <x:c r="M199" s="186"/>
      <x:c r="N199" s="186"/>
      <x:c r="O199" s="186"/>
      <x:c r="P199" s="186"/>
      <x:c r="Q199" s="186"/>
      <x:c r="R199" s="186"/>
      <x:c r="S199" s="186"/>
      <x:c r="T199" s="186"/>
      <x:c r="U199" s="186"/>
      <x:c r="V199" s="186"/>
      <x:c r="W199" s="186"/>
      <x:c r="X199" s="186"/>
      <x:c r="Y199" s="186"/>
      <x:c r="Z199" s="186"/>
    </x:row>
    <x:row r="200">
      <x:c r="A200" s="186"/>
      <x:c r="B200" s="186"/>
      <x:c r="C200" s="186"/>
      <x:c r="D200" s="186"/>
      <x:c r="E200" s="186"/>
      <x:c r="F200" s="186"/>
      <x:c r="G200" s="186"/>
      <x:c r="H200" s="186"/>
      <x:c r="I200" s="186"/>
      <x:c r="J200" s="186"/>
      <x:c r="K200" s="186"/>
      <x:c r="L200" s="186"/>
      <x:c r="M200" s="186"/>
      <x:c r="N200" s="186"/>
      <x:c r="O200" s="186"/>
      <x:c r="P200" s="186"/>
      <x:c r="Q200" s="186"/>
      <x:c r="R200" s="186"/>
      <x:c r="S200" s="186"/>
      <x:c r="T200" s="186"/>
      <x:c r="U200" s="186"/>
      <x:c r="V200" s="186"/>
      <x:c r="W200" s="186"/>
      <x:c r="X200" s="186"/>
      <x:c r="Y200" s="186"/>
      <x:c r="Z200" s="186"/>
    </x:row>
  </x:sheetData>
  <x:conditionalFormatting sqref="L2:L82">
    <x:cfRule type="expression" dxfId="6" priority="1">
      <x:formula>ISNUMBER(SEARCH("待",L2))</x:formula>
    </x:cfRule>
  </x:conditionalFormatting>
  <x:conditionalFormatting sqref="A2:A82">
    <x:cfRule type="dataBar" priority="2">
      <x:dataBar>
        <x:cfvo type="min"/>
        <x:cfvo type="max"/>
        <x:color rgb="D97706"/>
      </x:dataBar>
      <x:extLst>
        <x:ext xmlns:x14="http://schemas.microsoft.com/office/spreadsheetml/2009/9/main" uri="{B025F937-C7B1-47D3-B67F-A62EFF666E3E}">
          <x14:id>{4626F907-A803-B6F8-1DCC-3A26058FF00C}</x14:id>
        </x:ext>
      </x:extLst>
    </x:cfRule>
  </x:conditionalFormatting>
  <x:dataValidations count="1">
    <x:dataValidation type="list" sqref="L2:L82">
      <x:formula1>"已据第99回难簿校核,已据第99回补难情节校核,待对应回目补摘,需校注本复核"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683e8ab900425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626F907-A803-B6F8-1DCC-3A26058FF00C}">
            <x14:dataBar gradient="1">
              <x14:cfvo type="min"/>
              <x14:cfvo type="max"/>
              <x14:fillColor rgb="D97706"/>
            </x14:dataBar>
          </x14:cfRule>
          <xm:sqref>A2:A82</xm:sqref>
        </x14:conditionalFormatting>
      </x14:conditionalFormattings>
    </x:ext>
  </x:extLst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42" hidden="0" customWidth="1"/>
  </x:cols>
  <x:sheetData>
    <x:row r="1">
      <x:c r="A1" s="190" t="str">
        <x:v>统计类型</x:v>
      </x:c>
      <x:c r="B1" s="190" t="str">
        <x:v>项目</x:v>
      </x:c>
      <x:c r="C1" s="190" t="str">
        <x:v>数量</x:v>
      </x:c>
      <x:c r="D1" s="190" t="str">
        <x:v>说明</x:v>
      </x:c>
      <x:c r="E1" s="186"/>
      <x:c r="F1" s="186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  <x:c r="R1" s="186"/>
      <x:c r="S1" s="186"/>
      <x:c r="T1" s="186"/>
      <x:c r="U1" s="186"/>
      <x:c r="V1" s="186"/>
      <x:c r="W1" s="186"/>
      <x:c r="X1" s="186"/>
      <x:c r="Y1" s="186"/>
      <x:c r="Z1" s="186"/>
    </x:row>
    <x:row r="2">
      <x:c r="A2" s="188" t="str">
        <x:v>主题大类</x:v>
      </x:c>
      <x:c r="B2" s="188" t="str">
        <x:v>身世/冤案</x:v>
      </x:c>
      <x:c r="C2" s="188" t="n">
        <x:v>5</x:v>
      </x:c>
      <x:c r="D2" s="188" t="str">
        <x:v>按第99回难名与情节归类</x:v>
      </x:c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  <x:c r="T2" s="186"/>
      <x:c r="U2" s="186"/>
      <x:c r="V2" s="186"/>
      <x:c r="W2" s="186"/>
      <x:c r="X2" s="186"/>
      <x:c r="Y2" s="186"/>
      <x:c r="Z2" s="186"/>
    </x:row>
    <x:row r="3">
      <x:c r="A3" s="188" t="str">
        <x:v>主题大类</x:v>
      </x:c>
      <x:c r="B3" s="188" t="str">
        <x:v>环境/天灾/路阻</x:v>
      </x:c>
      <x:c r="C3" s="188" t="n">
        <x:v>9</x:v>
      </x:c>
      <x:c r="D3" s="188" t="str">
        <x:v>按第99回难名与情节归类</x:v>
      </x:c>
      <x:c r="E3" s="186"/>
      <x:c r="F3" s="186"/>
      <x:c r="G3" s="186"/>
      <x:c r="H3" s="186"/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  <x:c r="S3" s="186"/>
      <x:c r="T3" s="186"/>
      <x:c r="U3" s="186"/>
      <x:c r="V3" s="186"/>
      <x:c r="W3" s="186"/>
      <x:c r="X3" s="186"/>
      <x:c r="Y3" s="186"/>
      <x:c r="Z3" s="186"/>
    </x:row>
    <x:row r="4">
      <x:c r="A4" s="188" t="str">
        <x:v>主题大类</x:v>
      </x:c>
      <x:c r="B4" s="188" t="str">
        <x:v>修行/归真</x:v>
      </x:c>
      <x:c r="C4" s="188" t="n">
        <x:v>22</x:v>
      </x:c>
      <x:c r="D4" s="188" t="str">
        <x:v>按第99回难名与情节归类</x:v>
      </x:c>
      <x:c r="E4" s="186"/>
      <x:c r="F4" s="186"/>
      <x:c r="G4" s="186"/>
      <x:c r="H4" s="186"/>
      <x:c r="I4" s="186"/>
      <x:c r="J4" s="186"/>
      <x:c r="K4" s="186"/>
      <x:c r="L4" s="186"/>
      <x:c r="M4" s="186"/>
      <x:c r="N4" s="186"/>
      <x:c r="O4" s="186"/>
      <x:c r="P4" s="186"/>
      <x:c r="Q4" s="186"/>
      <x:c r="R4" s="186"/>
      <x:c r="S4" s="186"/>
      <x:c r="T4" s="186"/>
      <x:c r="U4" s="186"/>
      <x:c r="V4" s="186"/>
      <x:c r="W4" s="186"/>
      <x:c r="X4" s="186"/>
      <x:c r="Y4" s="186"/>
      <x:c r="Z4" s="186"/>
    </x:row>
    <x:row r="5">
      <x:c r="A5" s="188" t="str">
        <x:v>主题大类</x:v>
      </x:c>
      <x:c r="B5" s="188" t="str">
        <x:v>妖怪/后台</x:v>
      </x:c>
      <x:c r="C5" s="188" t="n">
        <x:v>17</x:v>
      </x:c>
      <x:c r="D5" s="188" t="str">
        <x:v>按第99回难名与情节归类</x:v>
      </x:c>
      <x:c r="E5" s="186"/>
      <x:c r="F5" s="186"/>
      <x:c r="G5" s="186"/>
      <x:c r="H5" s="186"/>
      <x:c r="I5" s="186"/>
      <x:c r="J5" s="186"/>
      <x:c r="K5" s="186"/>
      <x:c r="L5" s="186"/>
      <x:c r="M5" s="186"/>
      <x:c r="N5" s="186"/>
      <x:c r="O5" s="186"/>
      <x:c r="P5" s="186"/>
      <x:c r="Q5" s="186"/>
      <x:c r="R5" s="186"/>
      <x:c r="S5" s="186"/>
      <x:c r="T5" s="186"/>
      <x:c r="U5" s="186"/>
      <x:c r="V5" s="186"/>
      <x:c r="W5" s="186"/>
      <x:c r="X5" s="186"/>
      <x:c r="Y5" s="186"/>
      <x:c r="Z5" s="186"/>
    </x:row>
    <x:row r="6">
      <x:c r="A6" s="188" t="str">
        <x:v>主题大类</x:v>
      </x:c>
      <x:c r="B6" s="188" t="str">
        <x:v>资源/法宝</x:v>
      </x:c>
      <x:c r="C6" s="188" t="n">
        <x:v>3</x:v>
      </x:c>
      <x:c r="D6" s="188" t="str">
        <x:v>按第99回难名与情节归类</x:v>
      </x:c>
      <x:c r="E6" s="186"/>
      <x:c r="F6" s="186"/>
      <x:c r="G6" s="186"/>
      <x:c r="H6" s="186"/>
      <x:c r="I6" s="186"/>
      <x:c r="J6" s="186"/>
      <x:c r="K6" s="186"/>
      <x:c r="L6" s="186"/>
      <x:c r="M6" s="186"/>
      <x:c r="N6" s="186"/>
      <x:c r="O6" s="186"/>
      <x:c r="P6" s="186"/>
      <x:c r="Q6" s="186"/>
      <x:c r="R6" s="186"/>
      <x:c r="S6" s="186"/>
      <x:c r="T6" s="186"/>
      <x:c r="U6" s="186"/>
      <x:c r="V6" s="186"/>
      <x:c r="W6" s="186"/>
      <x:c r="X6" s="186"/>
      <x:c r="Y6" s="186"/>
      <x:c r="Z6" s="186"/>
    </x:row>
    <x:row r="7">
      <x:c r="A7" s="188" t="str">
        <x:v>主题大类</x:v>
      </x:c>
      <x:c r="B7" s="188" t="str">
        <x:v>团队/心性</x:v>
      </x:c>
      <x:c r="C7" s="188" t="n">
        <x:v>8</x:v>
      </x:c>
      <x:c r="D7" s="188" t="str">
        <x:v>按第99回难名与情节归类</x:v>
      </x:c>
      <x:c r="E7" s="186"/>
      <x:c r="F7" s="186"/>
      <x:c r="G7" s="186"/>
      <x:c r="H7" s="186"/>
      <x:c r="I7" s="186"/>
      <x:c r="J7" s="186"/>
      <x:c r="K7" s="186"/>
      <x:c r="L7" s="186"/>
      <x:c r="M7" s="186"/>
      <x:c r="N7" s="186"/>
      <x:c r="O7" s="186"/>
      <x:c r="P7" s="186"/>
      <x:c r="Q7" s="186"/>
      <x:c r="R7" s="186"/>
      <x:c r="S7" s="186"/>
      <x:c r="T7" s="186"/>
      <x:c r="U7" s="186"/>
      <x:c r="V7" s="186"/>
      <x:c r="W7" s="186"/>
      <x:c r="X7" s="186"/>
      <x:c r="Y7" s="186"/>
      <x:c r="Z7" s="186"/>
    </x:row>
    <x:row r="8">
      <x:c r="A8" s="188" t="str">
        <x:v>主题大类</x:v>
      </x:c>
      <x:c r="B8" s="188" t="str">
        <x:v>国家/制度/王权</x:v>
      </x:c>
      <x:c r="C8" s="188" t="n">
        <x:v>10</x:v>
      </x:c>
      <x:c r="D8" s="188" t="str">
        <x:v>按第99回难名与情节归类</x:v>
      </x:c>
      <x:c r="E8" s="186"/>
      <x:c r="F8" s="186"/>
      <x:c r="G8" s="186"/>
      <x:c r="H8" s="186"/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</x:row>
    <x:row r="9">
      <x:c r="A9" s="188" t="str">
        <x:v>主题大类</x:v>
      </x:c>
      <x:c r="B9" s="188" t="str">
        <x:v>假权威/最高救援</x:v>
      </x:c>
      <x:c r="C9" s="188" t="n">
        <x:v>5</x:v>
      </x:c>
      <x:c r="D9" s="188" t="str">
        <x:v>按第99回难名与情节归类</x:v>
      </x:c>
      <x:c r="E9" s="186"/>
      <x:c r="F9" s="186"/>
      <x:c r="G9" s="186"/>
      <x:c r="H9" s="186"/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</x:row>
    <x:row r="10">
      <x:c r="A10" s="188" t="str">
        <x:v>主题大类</x:v>
      </x:c>
      <x:c r="B10" s="188" t="str">
        <x:v>欲望/身体</x:v>
      </x:c>
      <x:c r="C10" s="188" t="n">
        <x:v>2</x:v>
      </x:c>
      <x:c r="D10" s="188" t="str">
        <x:v>按第99回难名与情节归类</x:v>
      </x:c>
      <x:c r="E10" s="186"/>
      <x:c r="F10" s="186"/>
      <x:c r="G10" s="186"/>
      <x:c r="H10" s="186"/>
      <x:c r="I10" s="186"/>
      <x:c r="J10" s="186"/>
      <x:c r="K10" s="186"/>
      <x:c r="L10" s="186"/>
      <x:c r="M10" s="186"/>
      <x:c r="N10" s="186"/>
      <x:c r="O10" s="186"/>
      <x:c r="P10" s="186"/>
      <x:c r="Q10" s="186"/>
      <x:c r="R10" s="186"/>
      <x:c r="S10" s="186"/>
      <x:c r="T10" s="186"/>
      <x:c r="U10" s="186"/>
      <x:c r="V10" s="186"/>
      <x:c r="W10" s="186"/>
      <x:c r="X10" s="186"/>
      <x:c r="Y10" s="186"/>
      <x:c r="Z10" s="186"/>
    </x:row>
    <x:row r="11">
      <x:c r="A11" s="188" t="str">
        <x:v>叙事阶段</x:v>
      </x:c>
      <x:c r="B11" s="188" t="str">
        <x:v>身世与取经前因</x:v>
      </x:c>
      <x:c r="C11" s="188" t="n">
        <x:v>4</x:v>
      </x:c>
      <x:c r="D11" s="188" t="str">
        <x:v>按全书八阶段归并</x:v>
      </x:c>
      <x:c r="E11" s="186"/>
      <x:c r="F11" s="186"/>
      <x:c r="G11" s="186"/>
      <x:c r="H11" s="186"/>
      <x:c r="I11" s="186"/>
      <x:c r="J11" s="186"/>
      <x:c r="K11" s="186"/>
      <x:c r="L11" s="186"/>
      <x:c r="M11" s="186"/>
      <x:c r="N11" s="186"/>
      <x:c r="O11" s="186"/>
      <x:c r="P11" s="186"/>
      <x:c r="Q11" s="186"/>
      <x:c r="R11" s="186"/>
      <x:c r="S11" s="186"/>
      <x:c r="T11" s="186"/>
      <x:c r="U11" s="186"/>
      <x:c r="V11" s="186"/>
      <x:c r="W11" s="186"/>
      <x:c r="X11" s="186"/>
      <x:c r="Y11" s="186"/>
      <x:c r="Z11" s="186"/>
    </x:row>
    <x:row r="12">
      <x:c r="A12" s="188" t="str">
        <x:v>叙事阶段</x:v>
      </x:c>
      <x:c r="B12" s="188" t="str">
        <x:v>出发与团队成型</x:v>
      </x:c>
      <x:c r="C12" s="188" t="n">
        <x:v>12</x:v>
      </x:c>
      <x:c r="D12" s="188" t="str">
        <x:v>按全书八阶段归并</x:v>
      </x:c>
      <x:c r="E12" s="186"/>
      <x:c r="F12" s="186"/>
      <x:c r="G12" s="186"/>
      <x:c r="H12" s="186"/>
      <x:c r="I12" s="186"/>
      <x:c r="J12" s="186"/>
      <x:c r="K12" s="186"/>
      <x:c r="L12" s="186"/>
      <x:c r="M12" s="186"/>
      <x:c r="N12" s="186"/>
      <x:c r="O12" s="186"/>
      <x:c r="P12" s="186"/>
      <x:c r="Q12" s="186"/>
      <x:c r="R12" s="186"/>
      <x:c r="S12" s="186"/>
      <x:c r="T12" s="186"/>
      <x:c r="U12" s="186"/>
      <x:c r="V12" s="186"/>
      <x:c r="W12" s="186"/>
      <x:c r="X12" s="186"/>
      <x:c r="Y12" s="186"/>
      <x:c r="Z12" s="186"/>
    </x:row>
    <x:row r="13">
      <x:c r="A13" s="188" t="str">
        <x:v>叙事阶段</x:v>
      </x:c>
      <x:c r="B13" s="188" t="str">
        <x:v>初期磨合与团队信任</x:v>
      </x:c>
      <x:c r="C13" s="188" t="n">
        <x:v>15</x:v>
      </x:c>
      <x:c r="D13" s="188" t="str">
        <x:v>按全书八阶段归并</x:v>
      </x:c>
      <x:c r="E13" s="186"/>
      <x:c r="F13" s="186"/>
      <x:c r="G13" s="186"/>
      <x:c r="H13" s="186"/>
      <x:c r="I13" s="186"/>
      <x:c r="J13" s="186"/>
      <x:c r="K13" s="186"/>
      <x:c r="L13" s="186"/>
      <x:c r="M13" s="186"/>
      <x:c r="N13" s="186"/>
      <x:c r="O13" s="186"/>
      <x:c r="P13" s="186"/>
      <x:c r="Q13" s="186"/>
      <x:c r="R13" s="186"/>
      <x:c r="S13" s="186"/>
      <x:c r="T13" s="186"/>
      <x:c r="U13" s="186"/>
      <x:c r="V13" s="186"/>
      <x:c r="W13" s="186"/>
      <x:c r="X13" s="186"/>
      <x:c r="Y13" s="186"/>
      <x:c r="Z13" s="186"/>
    </x:row>
    <x:row r="14">
      <x:c r="A14" s="188" t="str">
        <x:v>叙事阶段</x:v>
      </x:c>
      <x:c r="B14" s="188" t="str">
        <x:v>法宝后台与二心欲望</x:v>
      </x:c>
      <x:c r="C14" s="188" t="n">
        <x:v>15</x:v>
      </x:c>
      <x:c r="D14" s="188" t="str">
        <x:v>按全书八阶段归并</x:v>
      </x:c>
      <x:c r="E14" s="186"/>
      <x:c r="F14" s="186"/>
      <x:c r="G14" s="186"/>
      <x:c r="H14" s="186"/>
      <x:c r="I14" s="186"/>
      <x:c r="J14" s="186"/>
      <x:c r="K14" s="186"/>
      <x:c r="L14" s="186"/>
      <x:c r="M14" s="186"/>
      <x:c r="N14" s="186"/>
      <x:c r="O14" s="186"/>
      <x:c r="P14" s="186"/>
      <x:c r="Q14" s="186"/>
      <x:c r="R14" s="186"/>
      <x:c r="S14" s="186"/>
      <x:c r="T14" s="186"/>
      <x:c r="U14" s="186"/>
      <x:c r="V14" s="186"/>
      <x:c r="W14" s="186"/>
      <x:c r="X14" s="186"/>
      <x:c r="Y14" s="186"/>
      <x:c r="Z14" s="186"/>
    </x:row>
    <x:row r="15">
      <x:c r="A15" s="188" t="str">
        <x:v>叙事阶段</x:v>
      </x:c>
      <x:c r="B15" s="188" t="str">
        <x:v>制度、祭祀与假权威</x:v>
      </x:c>
      <x:c r="C15" s="188" t="n">
        <x:v>12</x:v>
      </x:c>
      <x:c r="D15" s="188" t="str">
        <x:v>按全书八阶段归并</x:v>
      </x:c>
      <x:c r="E15" s="186"/>
      <x:c r="F15" s="186"/>
      <x:c r="G15" s="186"/>
      <x:c r="H15" s="186"/>
      <x:c r="I15" s="186"/>
      <x:c r="J15" s="186"/>
      <x:c r="K15" s="186"/>
      <x:c r="L15" s="186"/>
      <x:c r="M15" s="186"/>
      <x:c r="N15" s="186"/>
      <x:c r="O15" s="186"/>
      <x:c r="P15" s="186"/>
      <x:c r="Q15" s="186"/>
      <x:c r="R15" s="186"/>
      <x:c r="S15" s="186"/>
      <x:c r="T15" s="186"/>
      <x:c r="U15" s="186"/>
      <x:c r="V15" s="186"/>
      <x:c r="W15" s="186"/>
      <x:c r="X15" s="186"/>
      <x:c r="Y15" s="186"/>
      <x:c r="Z15" s="186"/>
    </x:row>
    <x:row r="16">
      <x:c r="A16" s="188" t="str">
        <x:v>叙事阶段</x:v>
      </x:c>
      <x:c r="B16" s="188" t="str">
        <x:v>高阶妖怪与极端风险</x:v>
      </x:c>
      <x:c r="C16" s="188" t="n">
        <x:v>6</x:v>
      </x:c>
      <x:c r="D16" s="188" t="str">
        <x:v>按全书八阶段归并</x:v>
      </x:c>
      <x:c r="E16" s="186"/>
      <x:c r="F16" s="186"/>
      <x:c r="G16" s="186"/>
      <x:c r="H16" s="186"/>
      <x:c r="I16" s="186"/>
      <x:c r="J16" s="186"/>
      <x:c r="K16" s="186"/>
      <x:c r="L16" s="186"/>
      <x:c r="M16" s="186"/>
      <x:c r="N16" s="186"/>
      <x:c r="O16" s="186"/>
      <x:c r="P16" s="186"/>
      <x:c r="Q16" s="186"/>
      <x:c r="R16" s="186"/>
      <x:c r="S16" s="186"/>
      <x:c r="T16" s="186"/>
      <x:c r="U16" s="186"/>
      <x:c r="V16" s="186"/>
      <x:c r="W16" s="186"/>
      <x:c r="X16" s="186"/>
      <x:c r="Y16" s="186"/>
      <x:c r="Z16" s="186"/>
    </x:row>
    <x:row r="17">
      <x:c r="A17" s="188" t="str">
        <x:v>叙事阶段</x:v>
      </x:c>
      <x:c r="B17" s="188" t="str">
        <x:v>后半程国家治理与后台升级</x:v>
      </x:c>
      <x:c r="C17" s="188" t="n">
        <x:v>11</x:v>
      </x:c>
      <x:c r="D17" s="188" t="str">
        <x:v>按全书八阶段归并</x:v>
      </x:c>
      <x:c r="E17" s="186"/>
      <x:c r="F17" s="186"/>
      <x:c r="G17" s="186"/>
      <x:c r="H17" s="186"/>
      <x:c r="I17" s="186"/>
      <x:c r="J17" s="186"/>
      <x:c r="K17" s="186"/>
      <x:c r="L17" s="186"/>
      <x:c r="M17" s="186"/>
      <x:c r="N17" s="186"/>
      <x:c r="O17" s="186"/>
      <x:c r="P17" s="186"/>
      <x:c r="Q17" s="186"/>
      <x:c r="R17" s="186"/>
      <x:c r="S17" s="186"/>
      <x:c r="T17" s="186"/>
      <x:c r="U17" s="186"/>
      <x:c r="V17" s="186"/>
      <x:c r="W17" s="186"/>
      <x:c r="X17" s="186"/>
      <x:c r="Y17" s="186"/>
      <x:c r="Z17" s="186"/>
    </x:row>
    <x:row r="18">
      <x:c r="A18" s="188" t="str">
        <x:v>叙事阶段</x:v>
      </x:c>
      <x:c r="B18" s="188" t="str">
        <x:v>临近灵山与收官归真</x:v>
      </x:c>
      <x:c r="C18" s="188" t="n">
        <x:v>6</x:v>
      </x:c>
      <x:c r="D18" s="188" t="str">
        <x:v>按全书八阶段归并</x:v>
      </x:c>
      <x:c r="E18" s="186"/>
      <x:c r="F18" s="186"/>
      <x:c r="G18" s="186"/>
      <x:c r="H18" s="186"/>
      <x:c r="I18" s="186"/>
      <x:c r="J18" s="186"/>
      <x:c r="K18" s="186"/>
      <x:c r="L18" s="186"/>
      <x:c r="M18" s="186"/>
      <x:c r="N18" s="186"/>
      <x:c r="O18" s="186"/>
      <x:c r="P18" s="186"/>
      <x:c r="Q18" s="186"/>
      <x:c r="R18" s="186"/>
      <x:c r="S18" s="186"/>
      <x:c r="T18" s="186"/>
      <x:c r="U18" s="186"/>
      <x:c r="V18" s="186"/>
      <x:c r="W18" s="186"/>
      <x:c r="X18" s="186"/>
      <x:c r="Y18" s="186"/>
      <x:c r="Z18" s="186"/>
    </x:row>
    <x:row r="19">
      <x:c r="A19" s="188" t="str">
        <x:v>证据状态</x:v>
      </x:c>
      <x:c r="B19" s="188" t="str">
        <x:v>第99回难簿明列</x:v>
      </x:c>
      <x:c r="C19" s="188" t="n">
        <x:v>80</x:v>
      </x:c>
      <x:c r="D19" s="188" t="str">
        <x:v>第99回原文列出第一至第八十难</x:v>
      </x:c>
      <x:c r="E19" s="186"/>
      <x:c r="F19" s="186"/>
      <x:c r="G19" s="186"/>
      <x:c r="H19" s="186"/>
      <x:c r="I19" s="186"/>
      <x:c r="J19" s="186"/>
      <x:c r="K19" s="186"/>
      <x:c r="L19" s="186"/>
      <x:c r="M19" s="186"/>
      <x:c r="N19" s="186"/>
      <x:c r="O19" s="186"/>
      <x:c r="P19" s="186"/>
      <x:c r="Q19" s="186"/>
      <x:c r="R19" s="186"/>
      <x:c r="S19" s="186"/>
      <x:c r="T19" s="186"/>
      <x:c r="U19" s="186"/>
      <x:c r="V19" s="186"/>
      <x:c r="W19" s="186"/>
      <x:c r="X19" s="186"/>
      <x:c r="Y19" s="186"/>
      <x:c r="Z19" s="186"/>
    </x:row>
    <x:row r="20">
      <x:c r="A20" s="188" t="str">
        <x:v>证据状态</x:v>
      </x:c>
      <x:c r="B20" s="188" t="str">
        <x:v>补足九九归真</x:v>
      </x:c>
      <x:c r="C20" s="188" t="n">
        <x:v>1</x:v>
      </x:c>
      <x:c r="D20" s="188" t="str">
        <x:v>第99回老鼋落水补成最后一难</x:v>
      </x:c>
      <x:c r="E20" s="186"/>
      <x:c r="F20" s="186"/>
      <x:c r="G20" s="186"/>
      <x:c r="H20" s="186"/>
      <x:c r="I20" s="186"/>
      <x:c r="J20" s="186"/>
      <x:c r="K20" s="186"/>
      <x:c r="L20" s="186"/>
      <x:c r="M20" s="186"/>
      <x:c r="N20" s="186"/>
      <x:c r="O20" s="186"/>
      <x:c r="P20" s="186"/>
      <x:c r="Q20" s="186"/>
      <x:c r="R20" s="186"/>
      <x:c r="S20" s="186"/>
      <x:c r="T20" s="186"/>
      <x:c r="U20" s="186"/>
      <x:c r="V20" s="186"/>
      <x:c r="W20" s="186"/>
      <x:c r="X20" s="186"/>
      <x:c r="Y20" s="186"/>
      <x:c r="Z20" s="186"/>
    </x:row>
    <x:row r="21">
      <x:c r="A21" s="186"/>
      <x:c r="B21" s="186"/>
      <x:c r="C21" s="186"/>
      <x:c r="D21" s="186"/>
      <x:c r="E21" s="186"/>
      <x:c r="F21" s="186"/>
      <x:c r="G21" s="186"/>
      <x:c r="H21" s="186"/>
      <x:c r="I21" s="186"/>
      <x:c r="J21" s="186"/>
      <x:c r="K21" s="186"/>
      <x:c r="L21" s="186"/>
      <x:c r="M21" s="186"/>
      <x:c r="N21" s="186"/>
      <x:c r="O21" s="186"/>
      <x:c r="P21" s="186"/>
      <x:c r="Q21" s="186"/>
      <x:c r="R21" s="186"/>
      <x:c r="S21" s="186"/>
      <x:c r="T21" s="186"/>
      <x:c r="U21" s="186"/>
      <x:c r="V21" s="186"/>
      <x:c r="W21" s="186"/>
      <x:c r="X21" s="186"/>
      <x:c r="Y21" s="186"/>
      <x:c r="Z21" s="186"/>
    </x:row>
    <x:row r="22">
      <x:c r="A22" s="186"/>
      <x:c r="B22" s="186"/>
      <x:c r="C22" s="186"/>
      <x:c r="D22" s="186"/>
      <x:c r="E22" s="186"/>
      <x:c r="F22" s="186"/>
      <x:c r="G22" s="186"/>
      <x:c r="H22" s="186"/>
      <x:c r="I22" s="186"/>
      <x:c r="J22" s="186"/>
      <x:c r="K22" s="186"/>
      <x:c r="L22" s="186"/>
      <x:c r="M22" s="186"/>
      <x:c r="N22" s="186"/>
      <x:c r="O22" s="186"/>
      <x:c r="P22" s="186"/>
      <x:c r="Q22" s="186"/>
      <x:c r="R22" s="186"/>
      <x:c r="S22" s="186"/>
      <x:c r="T22" s="186"/>
      <x:c r="U22" s="186"/>
      <x:c r="V22" s="186"/>
      <x:c r="W22" s="186"/>
      <x:c r="X22" s="186"/>
      <x:c r="Y22" s="186"/>
      <x:c r="Z22" s="186"/>
    </x:row>
    <x:row r="23">
      <x:c r="A23" s="186"/>
      <x:c r="B23" s="186"/>
      <x:c r="C23" s="186"/>
      <x:c r="D23" s="186"/>
      <x:c r="E23" s="186"/>
      <x:c r="F23" s="186"/>
      <x:c r="G23" s="186"/>
      <x:c r="H23" s="186"/>
      <x:c r="I23" s="186"/>
      <x:c r="J23" s="186"/>
      <x:c r="K23" s="186"/>
      <x:c r="L23" s="186"/>
      <x:c r="M23" s="186"/>
      <x:c r="N23" s="186"/>
      <x:c r="O23" s="186"/>
      <x:c r="P23" s="186"/>
      <x:c r="Q23" s="186"/>
      <x:c r="R23" s="186"/>
      <x:c r="S23" s="186"/>
      <x:c r="T23" s="186"/>
      <x:c r="U23" s="186"/>
      <x:c r="V23" s="186"/>
      <x:c r="W23" s="186"/>
      <x:c r="X23" s="186"/>
      <x:c r="Y23" s="186"/>
      <x:c r="Z23" s="186"/>
    </x:row>
    <x:row r="24">
      <x:c r="A24" s="186"/>
      <x:c r="B24" s="186"/>
      <x:c r="C24" s="186"/>
      <x:c r="D24" s="186"/>
      <x:c r="E24" s="186"/>
      <x:c r="F24" s="186"/>
      <x:c r="G24" s="186"/>
      <x:c r="H24" s="186"/>
      <x:c r="I24" s="186"/>
      <x:c r="J24" s="186"/>
      <x:c r="K24" s="186"/>
      <x:c r="L24" s="186"/>
      <x:c r="M24" s="186"/>
      <x:c r="N24" s="186"/>
      <x:c r="O24" s="186"/>
      <x:c r="P24" s="186"/>
      <x:c r="Q24" s="186"/>
      <x:c r="R24" s="186"/>
      <x:c r="S24" s="186"/>
      <x:c r="T24" s="186"/>
      <x:c r="U24" s="186"/>
      <x:c r="V24" s="186"/>
      <x:c r="W24" s="186"/>
      <x:c r="X24" s="186"/>
      <x:c r="Y24" s="186"/>
      <x:c r="Z24" s="186"/>
    </x:row>
    <x:row r="25">
      <x:c r="A25" s="186"/>
      <x:c r="B25" s="186"/>
      <x:c r="C25" s="186"/>
      <x:c r="D25" s="186"/>
      <x:c r="E25" s="186"/>
      <x:c r="F25" s="186"/>
      <x:c r="G25" s="186"/>
      <x:c r="H25" s="186"/>
      <x:c r="I25" s="186"/>
      <x:c r="J25" s="186"/>
      <x:c r="K25" s="186"/>
      <x:c r="L25" s="186"/>
      <x:c r="M25" s="186"/>
      <x:c r="N25" s="186"/>
      <x:c r="O25" s="186"/>
      <x:c r="P25" s="186"/>
      <x:c r="Q25" s="186"/>
      <x:c r="R25" s="186"/>
      <x:c r="S25" s="186"/>
      <x:c r="T25" s="186"/>
      <x:c r="U25" s="186"/>
      <x:c r="V25" s="186"/>
      <x:c r="W25" s="186"/>
      <x:c r="X25" s="186"/>
      <x:c r="Y25" s="186"/>
      <x:c r="Z25" s="186"/>
    </x:row>
    <x:row r="26">
      <x:c r="A26" s="186"/>
      <x:c r="B26" s="186"/>
      <x:c r="C26" s="186"/>
      <x:c r="D26" s="186"/>
      <x:c r="E26" s="186"/>
      <x:c r="F26" s="186"/>
      <x:c r="G26" s="186"/>
      <x:c r="H26" s="186"/>
      <x:c r="I26" s="186"/>
      <x:c r="J26" s="186"/>
      <x:c r="K26" s="186"/>
      <x:c r="L26" s="186"/>
      <x:c r="M26" s="186"/>
      <x:c r="N26" s="186"/>
      <x:c r="O26" s="186"/>
      <x:c r="P26" s="186"/>
      <x:c r="Q26" s="186"/>
      <x:c r="R26" s="186"/>
      <x:c r="S26" s="186"/>
      <x:c r="T26" s="186"/>
      <x:c r="U26" s="186"/>
      <x:c r="V26" s="186"/>
      <x:c r="W26" s="186"/>
      <x:c r="X26" s="186"/>
      <x:c r="Y26" s="186"/>
      <x:c r="Z26" s="186"/>
    </x:row>
    <x:row r="27">
      <x:c r="A27" s="186"/>
      <x:c r="B27" s="186"/>
      <x:c r="C27" s="186"/>
      <x:c r="D27" s="186"/>
      <x:c r="E27" s="186"/>
      <x:c r="F27" s="186"/>
      <x:c r="G27" s="186"/>
      <x:c r="H27" s="186"/>
      <x:c r="I27" s="186"/>
      <x:c r="J27" s="186"/>
      <x:c r="K27" s="186"/>
      <x:c r="L27" s="186"/>
      <x:c r="M27" s="186"/>
      <x:c r="N27" s="186"/>
      <x:c r="O27" s="186"/>
      <x:c r="P27" s="186"/>
      <x:c r="Q27" s="186"/>
      <x:c r="R27" s="186"/>
      <x:c r="S27" s="186"/>
      <x:c r="T27" s="186"/>
      <x:c r="U27" s="186"/>
      <x:c r="V27" s="186"/>
      <x:c r="W27" s="186"/>
      <x:c r="X27" s="186"/>
      <x:c r="Y27" s="186"/>
      <x:c r="Z27" s="186"/>
    </x:row>
    <x:row r="28">
      <x:c r="A28" s="186"/>
      <x:c r="B28" s="186"/>
      <x:c r="C28" s="186"/>
      <x:c r="D28" s="186"/>
      <x:c r="E28" s="186"/>
      <x:c r="F28" s="186"/>
      <x:c r="G28" s="186"/>
      <x:c r="H28" s="186"/>
      <x:c r="I28" s="186"/>
      <x:c r="J28" s="186"/>
      <x:c r="K28" s="186"/>
      <x:c r="L28" s="186"/>
      <x:c r="M28" s="186"/>
      <x:c r="N28" s="186"/>
      <x:c r="O28" s="186"/>
      <x:c r="P28" s="186"/>
      <x:c r="Q28" s="186"/>
      <x:c r="R28" s="186"/>
      <x:c r="S28" s="186"/>
      <x:c r="T28" s="186"/>
      <x:c r="U28" s="186"/>
      <x:c r="V28" s="186"/>
      <x:c r="W28" s="186"/>
      <x:c r="X28" s="186"/>
      <x:c r="Y28" s="186"/>
      <x:c r="Z28" s="186"/>
    </x:row>
    <x:row r="29">
      <x:c r="A29" s="186"/>
      <x:c r="B29" s="186"/>
      <x:c r="C29" s="186"/>
      <x:c r="D29" s="186"/>
      <x:c r="E29" s="186"/>
      <x:c r="F29" s="186"/>
      <x:c r="G29" s="186"/>
      <x:c r="H29" s="186"/>
      <x:c r="I29" s="186"/>
      <x:c r="J29" s="186"/>
      <x:c r="K29" s="186"/>
      <x:c r="L29" s="186"/>
      <x:c r="M29" s="186"/>
      <x:c r="N29" s="186"/>
      <x:c r="O29" s="186"/>
      <x:c r="P29" s="186"/>
      <x:c r="Q29" s="186"/>
      <x:c r="R29" s="186"/>
      <x:c r="S29" s="186"/>
      <x:c r="T29" s="186"/>
      <x:c r="U29" s="186"/>
      <x:c r="V29" s="186"/>
      <x:c r="W29" s="186"/>
      <x:c r="X29" s="186"/>
      <x:c r="Y29" s="186"/>
      <x:c r="Z29" s="186"/>
    </x:row>
    <x:row r="30">
      <x:c r="A30" s="186"/>
      <x:c r="B30" s="186"/>
      <x:c r="C30" s="186"/>
      <x:c r="D30" s="186"/>
      <x:c r="E30" s="186"/>
      <x:c r="F30" s="186"/>
      <x:c r="G30" s="186"/>
      <x:c r="H30" s="186"/>
      <x:c r="I30" s="186"/>
      <x:c r="J30" s="186"/>
      <x:c r="K30" s="186"/>
      <x:c r="L30" s="186"/>
      <x:c r="M30" s="186"/>
      <x:c r="N30" s="186"/>
      <x:c r="O30" s="186"/>
      <x:c r="P30" s="186"/>
      <x:c r="Q30" s="186"/>
      <x:c r="R30" s="186"/>
      <x:c r="S30" s="186"/>
      <x:c r="T30" s="186"/>
      <x:c r="U30" s="186"/>
      <x:c r="V30" s="186"/>
      <x:c r="W30" s="186"/>
      <x:c r="X30" s="186"/>
      <x:c r="Y30" s="186"/>
      <x:c r="Z30" s="186"/>
    </x:row>
    <x:row r="31">
      <x:c r="A31" s="186"/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  <x:c r="M31" s="186"/>
      <x:c r="N31" s="186"/>
      <x:c r="O31" s="186"/>
      <x:c r="P31" s="186"/>
      <x:c r="Q31" s="186"/>
      <x:c r="R31" s="186"/>
      <x:c r="S31" s="186"/>
      <x:c r="T31" s="186"/>
      <x:c r="U31" s="186"/>
      <x:c r="V31" s="186"/>
      <x:c r="W31" s="186"/>
      <x:c r="X31" s="186"/>
      <x:c r="Y31" s="186"/>
      <x:c r="Z31" s="186"/>
    </x:row>
    <x:row r="32">
      <x:c r="A32" s="186"/>
      <x:c r="B32" s="186"/>
      <x:c r="C32" s="186"/>
      <x:c r="D32" s="186"/>
      <x:c r="E32" s="186"/>
      <x:c r="F32" s="186"/>
      <x:c r="G32" s="186"/>
      <x:c r="H32" s="186"/>
      <x:c r="I32" s="186"/>
      <x:c r="J32" s="186"/>
      <x:c r="K32" s="186"/>
      <x:c r="L32" s="186"/>
      <x:c r="M32" s="186"/>
      <x:c r="N32" s="186"/>
      <x:c r="O32" s="186"/>
      <x:c r="P32" s="186"/>
      <x:c r="Q32" s="186"/>
      <x:c r="R32" s="186"/>
      <x:c r="S32" s="186"/>
      <x:c r="T32" s="186"/>
      <x:c r="U32" s="186"/>
      <x:c r="V32" s="186"/>
      <x:c r="W32" s="186"/>
      <x:c r="X32" s="186"/>
      <x:c r="Y32" s="186"/>
      <x:c r="Z32" s="186"/>
    </x:row>
    <x:row r="33">
      <x:c r="A33" s="186"/>
      <x:c r="B33" s="186"/>
      <x:c r="C33" s="186"/>
      <x:c r="D33" s="186"/>
      <x:c r="E33" s="186"/>
      <x:c r="F33" s="186"/>
      <x:c r="G33" s="186"/>
      <x:c r="H33" s="186"/>
      <x:c r="I33" s="186"/>
      <x:c r="J33" s="186"/>
      <x:c r="K33" s="186"/>
      <x:c r="L33" s="186"/>
      <x:c r="M33" s="186"/>
      <x:c r="N33" s="186"/>
      <x:c r="O33" s="186"/>
      <x:c r="P33" s="186"/>
      <x:c r="Q33" s="186"/>
      <x:c r="R33" s="186"/>
      <x:c r="S33" s="186"/>
      <x:c r="T33" s="186"/>
      <x:c r="U33" s="186"/>
      <x:c r="V33" s="186"/>
      <x:c r="W33" s="186"/>
      <x:c r="X33" s="186"/>
      <x:c r="Y33" s="186"/>
      <x:c r="Z33" s="186"/>
    </x:row>
    <x:row r="34">
      <x:c r="A34" s="186"/>
      <x:c r="B34" s="186"/>
      <x:c r="C34" s="186"/>
      <x:c r="D34" s="186"/>
      <x:c r="E34" s="186"/>
      <x:c r="F34" s="186"/>
      <x:c r="G34" s="186"/>
      <x:c r="H34" s="186"/>
      <x:c r="I34" s="186"/>
      <x:c r="J34" s="186"/>
      <x:c r="K34" s="186"/>
      <x:c r="L34" s="186"/>
      <x:c r="M34" s="186"/>
      <x:c r="N34" s="186"/>
      <x:c r="O34" s="186"/>
      <x:c r="P34" s="186"/>
      <x:c r="Q34" s="186"/>
      <x:c r="R34" s="186"/>
      <x:c r="S34" s="186"/>
      <x:c r="T34" s="186"/>
      <x:c r="U34" s="186"/>
      <x:c r="V34" s="186"/>
      <x:c r="W34" s="186"/>
      <x:c r="X34" s="186"/>
      <x:c r="Y34" s="186"/>
      <x:c r="Z34" s="186"/>
    </x:row>
    <x:row r="35">
      <x:c r="A35" s="186"/>
      <x:c r="B35" s="186"/>
      <x:c r="C35" s="186"/>
      <x:c r="D35" s="186"/>
      <x:c r="E35" s="186"/>
      <x:c r="F35" s="186"/>
      <x:c r="G35" s="186"/>
      <x:c r="H35" s="186"/>
      <x:c r="I35" s="186"/>
      <x:c r="J35" s="186"/>
      <x:c r="K35" s="186"/>
      <x:c r="L35" s="186"/>
      <x:c r="M35" s="186"/>
      <x:c r="N35" s="186"/>
      <x:c r="O35" s="186"/>
      <x:c r="P35" s="186"/>
      <x:c r="Q35" s="186"/>
      <x:c r="R35" s="186"/>
      <x:c r="S35" s="186"/>
      <x:c r="T35" s="186"/>
      <x:c r="U35" s="186"/>
      <x:c r="V35" s="186"/>
      <x:c r="W35" s="186"/>
      <x:c r="X35" s="186"/>
      <x:c r="Y35" s="186"/>
      <x:c r="Z35" s="186"/>
    </x:row>
    <x:row r="36">
      <x:c r="A36" s="186"/>
      <x:c r="B36" s="186"/>
      <x:c r="C36" s="186"/>
      <x:c r="D36" s="186"/>
      <x:c r="E36" s="186"/>
      <x:c r="F36" s="186"/>
      <x:c r="G36" s="186"/>
      <x:c r="H36" s="186"/>
      <x:c r="I36" s="186"/>
      <x:c r="J36" s="186"/>
      <x:c r="K36" s="186"/>
      <x:c r="L36" s="186"/>
      <x:c r="M36" s="186"/>
      <x:c r="N36" s="186"/>
      <x:c r="O36" s="186"/>
      <x:c r="P36" s="186"/>
      <x:c r="Q36" s="186"/>
      <x:c r="R36" s="186"/>
      <x:c r="S36" s="186"/>
      <x:c r="T36" s="186"/>
      <x:c r="U36" s="186"/>
      <x:c r="V36" s="186"/>
      <x:c r="W36" s="186"/>
      <x:c r="X36" s="186"/>
      <x:c r="Y36" s="186"/>
      <x:c r="Z36" s="186"/>
    </x:row>
    <x:row r="37">
      <x:c r="A37" s="186"/>
      <x:c r="B37" s="186"/>
      <x:c r="C37" s="186"/>
      <x:c r="D37" s="186"/>
      <x:c r="E37" s="186"/>
      <x:c r="F37" s="186"/>
      <x:c r="G37" s="186"/>
      <x:c r="H37" s="186"/>
      <x:c r="I37" s="186"/>
      <x:c r="J37" s="186"/>
      <x:c r="K37" s="186"/>
      <x:c r="L37" s="186"/>
      <x:c r="M37" s="186"/>
      <x:c r="N37" s="186"/>
      <x:c r="O37" s="186"/>
      <x:c r="P37" s="186"/>
      <x:c r="Q37" s="186"/>
      <x:c r="R37" s="186"/>
      <x:c r="S37" s="186"/>
      <x:c r="T37" s="186"/>
      <x:c r="U37" s="186"/>
      <x:c r="V37" s="186"/>
      <x:c r="W37" s="186"/>
      <x:c r="X37" s="186"/>
      <x:c r="Y37" s="186"/>
      <x:c r="Z37" s="186"/>
    </x:row>
    <x:row r="38">
      <x:c r="A38" s="186"/>
      <x:c r="B38" s="186"/>
      <x:c r="C38" s="186"/>
      <x:c r="D38" s="186"/>
      <x:c r="E38" s="186"/>
      <x:c r="F38" s="186"/>
      <x:c r="G38" s="186"/>
      <x:c r="H38" s="186"/>
      <x:c r="I38" s="186"/>
      <x:c r="J38" s="186"/>
      <x:c r="K38" s="186"/>
      <x:c r="L38" s="186"/>
      <x:c r="M38" s="186"/>
      <x:c r="N38" s="186"/>
      <x:c r="O38" s="186"/>
      <x:c r="P38" s="186"/>
      <x:c r="Q38" s="186"/>
      <x:c r="R38" s="186"/>
      <x:c r="S38" s="186"/>
      <x:c r="T38" s="186"/>
      <x:c r="U38" s="186"/>
      <x:c r="V38" s="186"/>
      <x:c r="W38" s="186"/>
      <x:c r="X38" s="186"/>
      <x:c r="Y38" s="186"/>
      <x:c r="Z38" s="186"/>
    </x:row>
    <x:row r="39">
      <x:c r="A39" s="186"/>
      <x:c r="B39" s="186"/>
      <x:c r="C39" s="186"/>
      <x:c r="D39" s="186"/>
      <x:c r="E39" s="186"/>
      <x:c r="F39" s="186"/>
      <x:c r="G39" s="186"/>
      <x:c r="H39" s="186"/>
      <x:c r="I39" s="186"/>
      <x:c r="J39" s="186"/>
      <x:c r="K39" s="186"/>
      <x:c r="L39" s="186"/>
      <x:c r="M39" s="186"/>
      <x:c r="N39" s="186"/>
      <x:c r="O39" s="186"/>
      <x:c r="P39" s="186"/>
      <x:c r="Q39" s="186"/>
      <x:c r="R39" s="186"/>
      <x:c r="S39" s="186"/>
      <x:c r="T39" s="186"/>
      <x:c r="U39" s="186"/>
      <x:c r="V39" s="186"/>
      <x:c r="W39" s="186"/>
      <x:c r="X39" s="186"/>
      <x:c r="Y39" s="186"/>
      <x:c r="Z39" s="186"/>
    </x:row>
    <x:row r="40">
      <x:c r="A40" s="186"/>
      <x:c r="B40" s="186"/>
      <x:c r="C40" s="186"/>
      <x:c r="D40" s="186"/>
      <x:c r="E40" s="186"/>
      <x:c r="F40" s="186"/>
      <x:c r="G40" s="186"/>
      <x:c r="H40" s="186"/>
      <x:c r="I40" s="186"/>
      <x:c r="J40" s="186"/>
      <x:c r="K40" s="186"/>
      <x:c r="L40" s="186"/>
      <x:c r="M40" s="186"/>
      <x:c r="N40" s="186"/>
      <x:c r="O40" s="186"/>
      <x:c r="P40" s="186"/>
      <x:c r="Q40" s="186"/>
      <x:c r="R40" s="186"/>
      <x:c r="S40" s="186"/>
      <x:c r="T40" s="186"/>
      <x:c r="U40" s="186"/>
      <x:c r="V40" s="186"/>
      <x:c r="W40" s="186"/>
      <x:c r="X40" s="186"/>
      <x:c r="Y40" s="186"/>
      <x:c r="Z40" s="186"/>
    </x:row>
    <x:row r="41">
      <x:c r="A41" s="186"/>
      <x:c r="B41" s="186"/>
      <x:c r="C41" s="186"/>
      <x:c r="D41" s="186"/>
      <x:c r="E41" s="186"/>
      <x:c r="F41" s="186"/>
      <x:c r="G41" s="186"/>
      <x:c r="H41" s="186"/>
      <x:c r="I41" s="186"/>
      <x:c r="J41" s="186"/>
      <x:c r="K41" s="186"/>
      <x:c r="L41" s="186"/>
      <x:c r="M41" s="186"/>
      <x:c r="N41" s="186"/>
      <x:c r="O41" s="186"/>
      <x:c r="P41" s="186"/>
      <x:c r="Q41" s="186"/>
      <x:c r="R41" s="186"/>
      <x:c r="S41" s="186"/>
      <x:c r="T41" s="186"/>
      <x:c r="U41" s="186"/>
      <x:c r="V41" s="186"/>
      <x:c r="W41" s="186"/>
      <x:c r="X41" s="186"/>
      <x:c r="Y41" s="186"/>
      <x:c r="Z41" s="186"/>
    </x:row>
    <x:row r="42">
      <x:c r="A42" s="186"/>
      <x:c r="B42" s="186"/>
      <x:c r="C42" s="186"/>
      <x:c r="D42" s="186"/>
      <x:c r="E42" s="186"/>
      <x:c r="F42" s="186"/>
      <x:c r="G42" s="186"/>
      <x:c r="H42" s="186"/>
      <x:c r="I42" s="186"/>
      <x:c r="J42" s="186"/>
      <x:c r="K42" s="186"/>
      <x:c r="L42" s="186"/>
      <x:c r="M42" s="186"/>
      <x:c r="N42" s="186"/>
      <x:c r="O42" s="186"/>
      <x:c r="P42" s="186"/>
      <x:c r="Q42" s="186"/>
      <x:c r="R42" s="186"/>
      <x:c r="S42" s="186"/>
      <x:c r="T42" s="186"/>
      <x:c r="U42" s="186"/>
      <x:c r="V42" s="186"/>
      <x:c r="W42" s="186"/>
      <x:c r="X42" s="186"/>
      <x:c r="Y42" s="186"/>
      <x:c r="Z42" s="186"/>
    </x:row>
    <x:row r="43">
      <x:c r="A43" s="186"/>
      <x:c r="B43" s="186"/>
      <x:c r="C43" s="186"/>
      <x:c r="D43" s="186"/>
      <x:c r="E43" s="186"/>
      <x:c r="F43" s="186"/>
      <x:c r="G43" s="186"/>
      <x:c r="H43" s="186"/>
      <x:c r="I43" s="186"/>
      <x:c r="J43" s="186"/>
      <x:c r="K43" s="186"/>
      <x:c r="L43" s="186"/>
      <x:c r="M43" s="186"/>
      <x:c r="N43" s="186"/>
      <x:c r="O43" s="186"/>
      <x:c r="P43" s="186"/>
      <x:c r="Q43" s="186"/>
      <x:c r="R43" s="186"/>
      <x:c r="S43" s="186"/>
      <x:c r="T43" s="186"/>
      <x:c r="U43" s="186"/>
      <x:c r="V43" s="186"/>
      <x:c r="W43" s="186"/>
      <x:c r="X43" s="186"/>
      <x:c r="Y43" s="186"/>
      <x:c r="Z43" s="186"/>
    </x:row>
    <x:row r="44">
      <x:c r="A44" s="186"/>
      <x:c r="B44" s="186"/>
      <x:c r="C44" s="186"/>
      <x:c r="D44" s="186"/>
      <x:c r="E44" s="186"/>
      <x:c r="F44" s="186"/>
      <x:c r="G44" s="186"/>
      <x:c r="H44" s="186"/>
      <x:c r="I44" s="186"/>
      <x:c r="J44" s="186"/>
      <x:c r="K44" s="186"/>
      <x:c r="L44" s="186"/>
      <x:c r="M44" s="186"/>
      <x:c r="N44" s="186"/>
      <x:c r="O44" s="186"/>
      <x:c r="P44" s="186"/>
      <x:c r="Q44" s="186"/>
      <x:c r="R44" s="186"/>
      <x:c r="S44" s="186"/>
      <x:c r="T44" s="186"/>
      <x:c r="U44" s="186"/>
      <x:c r="V44" s="186"/>
      <x:c r="W44" s="186"/>
      <x:c r="X44" s="186"/>
      <x:c r="Y44" s="186"/>
      <x:c r="Z44" s="186"/>
    </x:row>
    <x:row r="45">
      <x:c r="A45" s="186"/>
      <x:c r="B45" s="186"/>
      <x:c r="C45" s="186"/>
      <x:c r="D45" s="186"/>
      <x:c r="E45" s="186"/>
      <x:c r="F45" s="186"/>
      <x:c r="G45" s="186"/>
      <x:c r="H45" s="186"/>
      <x:c r="I45" s="186"/>
      <x:c r="J45" s="186"/>
      <x:c r="K45" s="186"/>
      <x:c r="L45" s="186"/>
      <x:c r="M45" s="186"/>
      <x:c r="N45" s="186"/>
      <x:c r="O45" s="186"/>
      <x:c r="P45" s="186"/>
      <x:c r="Q45" s="186"/>
      <x:c r="R45" s="186"/>
      <x:c r="S45" s="186"/>
      <x:c r="T45" s="186"/>
      <x:c r="U45" s="186"/>
      <x:c r="V45" s="186"/>
      <x:c r="W45" s="186"/>
      <x:c r="X45" s="186"/>
      <x:c r="Y45" s="186"/>
      <x:c r="Z45" s="186"/>
    </x:row>
    <x:row r="46">
      <x:c r="A46" s="186"/>
      <x:c r="B46" s="186"/>
      <x:c r="C46" s="186"/>
      <x:c r="D46" s="186"/>
      <x:c r="E46" s="186"/>
      <x:c r="F46" s="186"/>
      <x:c r="G46" s="186"/>
      <x:c r="H46" s="186"/>
      <x:c r="I46" s="186"/>
      <x:c r="J46" s="186"/>
      <x:c r="K46" s="186"/>
      <x:c r="L46" s="186"/>
      <x:c r="M46" s="186"/>
      <x:c r="N46" s="186"/>
      <x:c r="O46" s="186"/>
      <x:c r="P46" s="186"/>
      <x:c r="Q46" s="186"/>
      <x:c r="R46" s="186"/>
      <x:c r="S46" s="186"/>
      <x:c r="T46" s="186"/>
      <x:c r="U46" s="186"/>
      <x:c r="V46" s="186"/>
      <x:c r="W46" s="186"/>
      <x:c r="X46" s="186"/>
      <x:c r="Y46" s="186"/>
      <x:c r="Z46" s="186"/>
    </x:row>
    <x:row r="47">
      <x:c r="A47" s="186"/>
      <x:c r="B47" s="186"/>
      <x:c r="C47" s="186"/>
      <x:c r="D47" s="186"/>
      <x:c r="E47" s="186"/>
      <x:c r="F47" s="186"/>
      <x:c r="G47" s="186"/>
      <x:c r="H47" s="186"/>
      <x:c r="I47" s="186"/>
      <x:c r="J47" s="186"/>
      <x:c r="K47" s="186"/>
      <x:c r="L47" s="186"/>
      <x:c r="M47" s="186"/>
      <x:c r="N47" s="186"/>
      <x:c r="O47" s="186"/>
      <x:c r="P47" s="186"/>
      <x:c r="Q47" s="186"/>
      <x:c r="R47" s="186"/>
      <x:c r="S47" s="186"/>
      <x:c r="T47" s="186"/>
      <x:c r="U47" s="186"/>
      <x:c r="V47" s="186"/>
      <x:c r="W47" s="186"/>
      <x:c r="X47" s="186"/>
      <x:c r="Y47" s="186"/>
      <x:c r="Z47" s="186"/>
    </x:row>
    <x:row r="48">
      <x:c r="A48" s="186"/>
      <x:c r="B48" s="186"/>
      <x:c r="C48" s="186"/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6"/>
      <x:c r="Q48" s="186"/>
      <x:c r="R48" s="186"/>
      <x:c r="S48" s="186"/>
      <x:c r="T48" s="186"/>
      <x:c r="U48" s="186"/>
      <x:c r="V48" s="186"/>
      <x:c r="W48" s="186"/>
      <x:c r="X48" s="186"/>
      <x:c r="Y48" s="186"/>
      <x:c r="Z48" s="186"/>
    </x:row>
    <x:row r="49">
      <x:c r="A49" s="186"/>
      <x:c r="B49" s="186"/>
      <x:c r="C49" s="186"/>
      <x:c r="D49" s="186"/>
      <x:c r="E49" s="186"/>
      <x:c r="F49" s="186"/>
      <x:c r="G49" s="186"/>
      <x:c r="H49" s="186"/>
      <x:c r="I49" s="186"/>
      <x:c r="J49" s="186"/>
      <x:c r="K49" s="186"/>
      <x:c r="L49" s="186"/>
      <x:c r="M49" s="186"/>
      <x:c r="N49" s="186"/>
      <x:c r="O49" s="186"/>
      <x:c r="P49" s="186"/>
      <x:c r="Q49" s="186"/>
      <x:c r="R49" s="186"/>
      <x:c r="S49" s="186"/>
      <x:c r="T49" s="186"/>
      <x:c r="U49" s="186"/>
      <x:c r="V49" s="186"/>
      <x:c r="W49" s="186"/>
      <x:c r="X49" s="186"/>
      <x:c r="Y49" s="186"/>
      <x:c r="Z49" s="186"/>
    </x:row>
    <x:row r="50">
      <x:c r="A50" s="186"/>
      <x:c r="B50" s="186"/>
      <x:c r="C50" s="186"/>
      <x:c r="D50" s="186"/>
      <x:c r="E50" s="186"/>
      <x:c r="F50" s="186"/>
      <x:c r="G50" s="186"/>
      <x:c r="H50" s="186"/>
      <x:c r="I50" s="186"/>
      <x:c r="J50" s="186"/>
      <x:c r="K50" s="186"/>
      <x:c r="L50" s="186"/>
      <x:c r="M50" s="186"/>
      <x:c r="N50" s="186"/>
      <x:c r="O50" s="186"/>
      <x:c r="P50" s="186"/>
      <x:c r="Q50" s="186"/>
      <x:c r="R50" s="186"/>
      <x:c r="S50" s="186"/>
      <x:c r="T50" s="186"/>
      <x:c r="U50" s="186"/>
      <x:c r="V50" s="186"/>
      <x:c r="W50" s="186"/>
      <x:c r="X50" s="186"/>
      <x:c r="Y50" s="186"/>
      <x:c r="Z50" s="186"/>
    </x:row>
    <x:row r="51">
      <x:c r="A51" s="186"/>
      <x:c r="B51" s="186"/>
      <x:c r="C51" s="186"/>
      <x:c r="D51" s="186"/>
      <x:c r="E51" s="186"/>
      <x:c r="F51" s="186"/>
      <x:c r="G51" s="186"/>
      <x:c r="H51" s="186"/>
      <x:c r="I51" s="186"/>
      <x:c r="J51" s="186"/>
      <x:c r="K51" s="186"/>
      <x:c r="L51" s="186"/>
      <x:c r="M51" s="186"/>
      <x:c r="N51" s="186"/>
      <x:c r="O51" s="186"/>
      <x:c r="P51" s="186"/>
      <x:c r="Q51" s="186"/>
      <x:c r="R51" s="186"/>
      <x:c r="S51" s="186"/>
      <x:c r="T51" s="186"/>
      <x:c r="U51" s="186"/>
      <x:c r="V51" s="186"/>
      <x:c r="W51" s="186"/>
      <x:c r="X51" s="186"/>
      <x:c r="Y51" s="186"/>
      <x:c r="Z51" s="186"/>
    </x:row>
    <x:row r="52">
      <x:c r="A52" s="186"/>
      <x:c r="B52" s="186"/>
      <x:c r="C52" s="186"/>
      <x:c r="D52" s="186"/>
      <x:c r="E52" s="186"/>
      <x:c r="F52" s="186"/>
      <x:c r="G52" s="186"/>
      <x:c r="H52" s="186"/>
      <x:c r="I52" s="186"/>
      <x:c r="J52" s="186"/>
      <x:c r="K52" s="186"/>
      <x:c r="L52" s="186"/>
      <x:c r="M52" s="186"/>
      <x:c r="N52" s="186"/>
      <x:c r="O52" s="186"/>
      <x:c r="P52" s="186"/>
      <x:c r="Q52" s="186"/>
      <x:c r="R52" s="186"/>
      <x:c r="S52" s="186"/>
      <x:c r="T52" s="186"/>
      <x:c r="U52" s="186"/>
      <x:c r="V52" s="186"/>
      <x:c r="W52" s="186"/>
      <x:c r="X52" s="186"/>
      <x:c r="Y52" s="186"/>
      <x:c r="Z52" s="186"/>
    </x:row>
    <x:row r="53">
      <x:c r="A53" s="186"/>
      <x:c r="B53" s="186"/>
      <x:c r="C53" s="186"/>
      <x:c r="D53" s="186"/>
      <x:c r="E53" s="186"/>
      <x:c r="F53" s="186"/>
      <x:c r="G53" s="186"/>
      <x:c r="H53" s="186"/>
      <x:c r="I53" s="186"/>
      <x:c r="J53" s="186"/>
      <x:c r="K53" s="186"/>
      <x:c r="L53" s="186"/>
      <x:c r="M53" s="186"/>
      <x:c r="N53" s="186"/>
      <x:c r="O53" s="186"/>
      <x:c r="P53" s="186"/>
      <x:c r="Q53" s="186"/>
      <x:c r="R53" s="186"/>
      <x:c r="S53" s="186"/>
      <x:c r="T53" s="186"/>
      <x:c r="U53" s="186"/>
      <x:c r="V53" s="186"/>
      <x:c r="W53" s="186"/>
      <x:c r="X53" s="186"/>
      <x:c r="Y53" s="186"/>
      <x:c r="Z53" s="186"/>
    </x:row>
    <x:row r="54">
      <x:c r="A54" s="186"/>
      <x:c r="B54" s="186"/>
      <x:c r="C54" s="186"/>
      <x:c r="D54" s="186"/>
      <x:c r="E54" s="186"/>
      <x:c r="F54" s="186"/>
      <x:c r="G54" s="186"/>
      <x:c r="H54" s="186"/>
      <x:c r="I54" s="186"/>
      <x:c r="J54" s="186"/>
      <x:c r="K54" s="186"/>
      <x:c r="L54" s="186"/>
      <x:c r="M54" s="186"/>
      <x:c r="N54" s="186"/>
      <x:c r="O54" s="186"/>
      <x:c r="P54" s="186"/>
      <x:c r="Q54" s="186"/>
      <x:c r="R54" s="186"/>
      <x:c r="S54" s="186"/>
      <x:c r="T54" s="186"/>
      <x:c r="U54" s="186"/>
      <x:c r="V54" s="186"/>
      <x:c r="W54" s="186"/>
      <x:c r="X54" s="186"/>
      <x:c r="Y54" s="186"/>
      <x:c r="Z54" s="186"/>
    </x:row>
    <x:row r="55">
      <x:c r="A55" s="186"/>
      <x:c r="B55" s="186"/>
      <x:c r="C55" s="186"/>
      <x:c r="D55" s="186"/>
      <x:c r="E55" s="186"/>
      <x:c r="F55" s="186"/>
      <x:c r="G55" s="186"/>
      <x:c r="H55" s="186"/>
      <x:c r="I55" s="186"/>
      <x:c r="J55" s="186"/>
      <x:c r="K55" s="186"/>
      <x:c r="L55" s="186"/>
      <x:c r="M55" s="186"/>
      <x:c r="N55" s="186"/>
      <x:c r="O55" s="186"/>
      <x:c r="P55" s="186"/>
      <x:c r="Q55" s="186"/>
      <x:c r="R55" s="186"/>
      <x:c r="S55" s="186"/>
      <x:c r="T55" s="186"/>
      <x:c r="U55" s="186"/>
      <x:c r="V55" s="186"/>
      <x:c r="W55" s="186"/>
      <x:c r="X55" s="186"/>
      <x:c r="Y55" s="186"/>
      <x:c r="Z55" s="186"/>
    </x:row>
    <x:row r="56">
      <x:c r="A56" s="186"/>
      <x:c r="B56" s="186"/>
      <x:c r="C56" s="186"/>
      <x:c r="D56" s="186"/>
      <x:c r="E56" s="186"/>
      <x:c r="F56" s="186"/>
      <x:c r="G56" s="186"/>
      <x:c r="H56" s="186"/>
      <x:c r="I56" s="186"/>
      <x:c r="J56" s="186"/>
      <x:c r="K56" s="186"/>
      <x:c r="L56" s="186"/>
      <x:c r="M56" s="186"/>
      <x:c r="N56" s="186"/>
      <x:c r="O56" s="186"/>
      <x:c r="P56" s="186"/>
      <x:c r="Q56" s="186"/>
      <x:c r="R56" s="186"/>
      <x:c r="S56" s="186"/>
      <x:c r="T56" s="186"/>
      <x:c r="U56" s="186"/>
      <x:c r="V56" s="186"/>
      <x:c r="W56" s="186"/>
      <x:c r="X56" s="186"/>
      <x:c r="Y56" s="186"/>
      <x:c r="Z56" s="186"/>
    </x:row>
    <x:row r="57">
      <x:c r="A57" s="186"/>
      <x:c r="B57" s="186"/>
      <x:c r="C57" s="186"/>
      <x:c r="D57" s="186"/>
      <x:c r="E57" s="186"/>
      <x:c r="F57" s="186"/>
      <x:c r="G57" s="186"/>
      <x:c r="H57" s="186"/>
      <x:c r="I57" s="186"/>
      <x:c r="J57" s="186"/>
      <x:c r="K57" s="186"/>
      <x:c r="L57" s="186"/>
      <x:c r="M57" s="186"/>
      <x:c r="N57" s="186"/>
      <x:c r="O57" s="186"/>
      <x:c r="P57" s="186"/>
      <x:c r="Q57" s="186"/>
      <x:c r="R57" s="186"/>
      <x:c r="S57" s="186"/>
      <x:c r="T57" s="186"/>
      <x:c r="U57" s="186"/>
      <x:c r="V57" s="186"/>
      <x:c r="W57" s="186"/>
      <x:c r="X57" s="186"/>
      <x:c r="Y57" s="186"/>
      <x:c r="Z57" s="186"/>
    </x:row>
    <x:row r="58">
      <x:c r="A58" s="186"/>
      <x:c r="B58" s="186"/>
      <x:c r="C58" s="186"/>
      <x:c r="D58" s="186"/>
      <x:c r="E58" s="186"/>
      <x:c r="F58" s="186"/>
      <x:c r="G58" s="186"/>
      <x:c r="H58" s="186"/>
      <x:c r="I58" s="186"/>
      <x:c r="J58" s="186"/>
      <x:c r="K58" s="186"/>
      <x:c r="L58" s="186"/>
      <x:c r="M58" s="186"/>
      <x:c r="N58" s="186"/>
      <x:c r="O58" s="186"/>
      <x:c r="P58" s="186"/>
      <x:c r="Q58" s="186"/>
      <x:c r="R58" s="186"/>
      <x:c r="S58" s="186"/>
      <x:c r="T58" s="186"/>
      <x:c r="U58" s="186"/>
      <x:c r="V58" s="186"/>
      <x:c r="W58" s="186"/>
      <x:c r="X58" s="186"/>
      <x:c r="Y58" s="186"/>
      <x:c r="Z58" s="186"/>
    </x:row>
    <x:row r="59">
      <x:c r="A59" s="186"/>
      <x:c r="B59" s="186"/>
      <x:c r="C59" s="186"/>
      <x:c r="D59" s="186"/>
      <x:c r="E59" s="186"/>
      <x:c r="F59" s="186"/>
      <x:c r="G59" s="186"/>
      <x:c r="H59" s="186"/>
      <x:c r="I59" s="186"/>
      <x:c r="J59" s="186"/>
      <x:c r="K59" s="186"/>
      <x:c r="L59" s="186"/>
      <x:c r="M59" s="186"/>
      <x:c r="N59" s="186"/>
      <x:c r="O59" s="186"/>
      <x:c r="P59" s="186"/>
      <x:c r="Q59" s="186"/>
      <x:c r="R59" s="186"/>
      <x:c r="S59" s="186"/>
      <x:c r="T59" s="186"/>
      <x:c r="U59" s="186"/>
      <x:c r="V59" s="186"/>
      <x:c r="W59" s="186"/>
      <x:c r="X59" s="186"/>
      <x:c r="Y59" s="186"/>
      <x:c r="Z59" s="186"/>
    </x:row>
    <x:row r="60">
      <x:c r="A60" s="186"/>
      <x:c r="B60" s="186"/>
      <x:c r="C60" s="186"/>
      <x:c r="D60" s="186"/>
      <x:c r="E60" s="186"/>
      <x:c r="F60" s="186"/>
      <x:c r="G60" s="186"/>
      <x:c r="H60" s="186"/>
      <x:c r="I60" s="186"/>
      <x:c r="J60" s="186"/>
      <x:c r="K60" s="186"/>
      <x:c r="L60" s="186"/>
      <x:c r="M60" s="186"/>
      <x:c r="N60" s="186"/>
      <x:c r="O60" s="186"/>
      <x:c r="P60" s="186"/>
      <x:c r="Q60" s="186"/>
      <x:c r="R60" s="186"/>
      <x:c r="S60" s="186"/>
      <x:c r="T60" s="186"/>
      <x:c r="U60" s="186"/>
      <x:c r="V60" s="186"/>
      <x:c r="W60" s="186"/>
      <x:c r="X60" s="186"/>
      <x:c r="Y60" s="186"/>
      <x:c r="Z60" s="186"/>
    </x:row>
    <x:row r="61">
      <x:c r="A61" s="186"/>
      <x:c r="B61" s="186"/>
      <x:c r="C61" s="186"/>
      <x:c r="D61" s="186"/>
      <x:c r="E61" s="186"/>
      <x:c r="F61" s="186"/>
      <x:c r="G61" s="186"/>
      <x:c r="H61" s="186"/>
      <x:c r="I61" s="186"/>
      <x:c r="J61" s="186"/>
      <x:c r="K61" s="186"/>
      <x:c r="L61" s="186"/>
      <x:c r="M61" s="186"/>
      <x:c r="N61" s="186"/>
      <x:c r="O61" s="186"/>
      <x:c r="P61" s="186"/>
      <x:c r="Q61" s="186"/>
      <x:c r="R61" s="186"/>
      <x:c r="S61" s="186"/>
      <x:c r="T61" s="186"/>
      <x:c r="U61" s="186"/>
      <x:c r="V61" s="186"/>
      <x:c r="W61" s="186"/>
      <x:c r="X61" s="186"/>
      <x:c r="Y61" s="186"/>
      <x:c r="Z61" s="186"/>
    </x:row>
    <x:row r="62">
      <x:c r="A62" s="186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6"/>
      <x:c r="P62" s="186"/>
      <x:c r="Q62" s="186"/>
      <x:c r="R62" s="186"/>
      <x:c r="S62" s="186"/>
      <x:c r="T62" s="186"/>
      <x:c r="U62" s="186"/>
      <x:c r="V62" s="186"/>
      <x:c r="W62" s="186"/>
      <x:c r="X62" s="186"/>
      <x:c r="Y62" s="186"/>
      <x:c r="Z62" s="186"/>
    </x:row>
    <x:row r="63">
      <x:c r="A63" s="186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6"/>
      <x:c r="P63" s="186"/>
      <x:c r="Q63" s="186"/>
      <x:c r="R63" s="186"/>
      <x:c r="S63" s="186"/>
      <x:c r="T63" s="186"/>
      <x:c r="U63" s="186"/>
      <x:c r="V63" s="186"/>
      <x:c r="W63" s="186"/>
      <x:c r="X63" s="186"/>
      <x:c r="Y63" s="186"/>
      <x:c r="Z63" s="186"/>
    </x:row>
    <x:row r="64">
      <x:c r="A64" s="186"/>
      <x:c r="B64" s="186"/>
      <x:c r="C64" s="186"/>
      <x:c r="D64" s="186"/>
      <x:c r="E64" s="186"/>
      <x:c r="F64" s="186"/>
      <x:c r="G64" s="186"/>
      <x:c r="H64" s="186"/>
      <x:c r="I64" s="186"/>
      <x:c r="J64" s="186"/>
      <x:c r="K64" s="186"/>
      <x:c r="L64" s="186"/>
      <x:c r="M64" s="186"/>
      <x:c r="N64" s="186"/>
      <x:c r="O64" s="186"/>
      <x:c r="P64" s="186"/>
      <x:c r="Q64" s="186"/>
      <x:c r="R64" s="186"/>
      <x:c r="S64" s="186"/>
      <x:c r="T64" s="186"/>
      <x:c r="U64" s="186"/>
      <x:c r="V64" s="186"/>
      <x:c r="W64" s="186"/>
      <x:c r="X64" s="186"/>
      <x:c r="Y64" s="186"/>
      <x:c r="Z64" s="186"/>
    </x:row>
    <x:row r="65">
      <x:c r="A65" s="186"/>
      <x:c r="B65" s="186"/>
      <x:c r="C65" s="186"/>
      <x:c r="D65" s="186"/>
      <x:c r="E65" s="186"/>
      <x:c r="F65" s="186"/>
      <x:c r="G65" s="186"/>
      <x:c r="H65" s="186"/>
      <x:c r="I65" s="186"/>
      <x:c r="J65" s="186"/>
      <x:c r="K65" s="186"/>
      <x:c r="L65" s="186"/>
      <x:c r="M65" s="186"/>
      <x:c r="N65" s="186"/>
      <x:c r="O65" s="186"/>
      <x:c r="P65" s="186"/>
      <x:c r="Q65" s="186"/>
      <x:c r="R65" s="186"/>
      <x:c r="S65" s="186"/>
      <x:c r="T65" s="186"/>
      <x:c r="U65" s="186"/>
      <x:c r="V65" s="186"/>
      <x:c r="W65" s="186"/>
      <x:c r="X65" s="186"/>
      <x:c r="Y65" s="186"/>
      <x:c r="Z65" s="186"/>
    </x:row>
    <x:row r="66">
      <x:c r="A66" s="186"/>
      <x:c r="B66" s="186"/>
      <x:c r="C66" s="186"/>
      <x:c r="D66" s="186"/>
      <x:c r="E66" s="186"/>
      <x:c r="F66" s="186"/>
      <x:c r="G66" s="186"/>
      <x:c r="H66" s="186"/>
      <x:c r="I66" s="186"/>
      <x:c r="J66" s="186"/>
      <x:c r="K66" s="186"/>
      <x:c r="L66" s="186"/>
      <x:c r="M66" s="186"/>
      <x:c r="N66" s="186"/>
      <x:c r="O66" s="186"/>
      <x:c r="P66" s="186"/>
      <x:c r="Q66" s="186"/>
      <x:c r="R66" s="186"/>
      <x:c r="S66" s="186"/>
      <x:c r="T66" s="186"/>
      <x:c r="U66" s="186"/>
      <x:c r="V66" s="186"/>
      <x:c r="W66" s="186"/>
      <x:c r="X66" s="186"/>
      <x:c r="Y66" s="186"/>
      <x:c r="Z66" s="186"/>
    </x:row>
    <x:row r="67">
      <x:c r="A67" s="186"/>
      <x:c r="B67" s="186"/>
      <x:c r="C67" s="186"/>
      <x:c r="D67" s="186"/>
      <x:c r="E67" s="186"/>
      <x:c r="F67" s="186"/>
      <x:c r="G67" s="186"/>
      <x:c r="H67" s="186"/>
      <x:c r="I67" s="186"/>
      <x:c r="J67" s="186"/>
      <x:c r="K67" s="186"/>
      <x:c r="L67" s="186"/>
      <x:c r="M67" s="186"/>
      <x:c r="N67" s="186"/>
      <x:c r="O67" s="186"/>
      <x:c r="P67" s="186"/>
      <x:c r="Q67" s="186"/>
      <x:c r="R67" s="186"/>
      <x:c r="S67" s="186"/>
      <x:c r="T67" s="186"/>
      <x:c r="U67" s="186"/>
      <x:c r="V67" s="186"/>
      <x:c r="W67" s="186"/>
      <x:c r="X67" s="186"/>
      <x:c r="Y67" s="186"/>
      <x:c r="Z67" s="186"/>
    </x:row>
    <x:row r="68">
      <x:c r="A68" s="186"/>
      <x:c r="B68" s="186"/>
      <x:c r="C68" s="186"/>
      <x:c r="D68" s="186"/>
      <x:c r="E68" s="186"/>
      <x:c r="F68" s="186"/>
      <x:c r="G68" s="186"/>
      <x:c r="H68" s="186"/>
      <x:c r="I68" s="186"/>
      <x:c r="J68" s="186"/>
      <x:c r="K68" s="186"/>
      <x:c r="L68" s="186"/>
      <x:c r="M68" s="186"/>
      <x:c r="N68" s="186"/>
      <x:c r="O68" s="186"/>
      <x:c r="P68" s="186"/>
      <x:c r="Q68" s="186"/>
      <x:c r="R68" s="186"/>
      <x:c r="S68" s="186"/>
      <x:c r="T68" s="186"/>
      <x:c r="U68" s="186"/>
      <x:c r="V68" s="186"/>
      <x:c r="W68" s="186"/>
      <x:c r="X68" s="186"/>
      <x:c r="Y68" s="186"/>
      <x:c r="Z68" s="186"/>
    </x:row>
    <x:row r="69">
      <x:c r="A69" s="186"/>
      <x:c r="B69" s="186"/>
      <x:c r="C69" s="186"/>
      <x:c r="D69" s="186"/>
      <x:c r="E69" s="186"/>
      <x:c r="F69" s="186"/>
      <x:c r="G69" s="186"/>
      <x:c r="H69" s="186"/>
      <x:c r="I69" s="186"/>
      <x:c r="J69" s="186"/>
      <x:c r="K69" s="186"/>
      <x:c r="L69" s="186"/>
      <x:c r="M69" s="186"/>
      <x:c r="N69" s="186"/>
      <x:c r="O69" s="186"/>
      <x:c r="P69" s="186"/>
      <x:c r="Q69" s="186"/>
      <x:c r="R69" s="186"/>
      <x:c r="S69" s="186"/>
      <x:c r="T69" s="186"/>
      <x:c r="U69" s="186"/>
      <x:c r="V69" s="186"/>
      <x:c r="W69" s="186"/>
      <x:c r="X69" s="186"/>
      <x:c r="Y69" s="186"/>
      <x:c r="Z69" s="186"/>
    </x:row>
    <x:row r="70">
      <x:c r="A70" s="186"/>
      <x:c r="B70" s="186"/>
      <x:c r="C70" s="186"/>
      <x:c r="D70" s="186"/>
      <x:c r="E70" s="186"/>
      <x:c r="F70" s="186"/>
      <x:c r="G70" s="186"/>
      <x:c r="H70" s="186"/>
      <x:c r="I70" s="186"/>
      <x:c r="J70" s="186"/>
      <x:c r="K70" s="186"/>
      <x:c r="L70" s="186"/>
      <x:c r="M70" s="186"/>
      <x:c r="N70" s="186"/>
      <x:c r="O70" s="186"/>
      <x:c r="P70" s="186"/>
      <x:c r="Q70" s="186"/>
      <x:c r="R70" s="186"/>
      <x:c r="S70" s="186"/>
      <x:c r="T70" s="186"/>
      <x:c r="U70" s="186"/>
      <x:c r="V70" s="186"/>
      <x:c r="W70" s="186"/>
      <x:c r="X70" s="186"/>
      <x:c r="Y70" s="186"/>
      <x:c r="Z70" s="186"/>
    </x:row>
    <x:row r="71">
      <x:c r="A71" s="186"/>
      <x:c r="B71" s="186"/>
      <x:c r="C71" s="186"/>
      <x:c r="D71" s="186"/>
      <x:c r="E71" s="186"/>
      <x:c r="F71" s="186"/>
      <x:c r="G71" s="186"/>
      <x:c r="H71" s="186"/>
      <x:c r="I71" s="186"/>
      <x:c r="J71" s="186"/>
      <x:c r="K71" s="186"/>
      <x:c r="L71" s="186"/>
      <x:c r="M71" s="186"/>
      <x:c r="N71" s="186"/>
      <x:c r="O71" s="186"/>
      <x:c r="P71" s="186"/>
      <x:c r="Q71" s="186"/>
      <x:c r="R71" s="186"/>
      <x:c r="S71" s="186"/>
      <x:c r="T71" s="186"/>
      <x:c r="U71" s="186"/>
      <x:c r="V71" s="186"/>
      <x:c r="W71" s="186"/>
      <x:c r="X71" s="186"/>
      <x:c r="Y71" s="186"/>
      <x:c r="Z71" s="186"/>
    </x:row>
    <x:row r="72">
      <x:c r="A72" s="186"/>
      <x:c r="B72" s="186"/>
      <x:c r="C72" s="186"/>
      <x:c r="D72" s="186"/>
      <x:c r="E72" s="186"/>
      <x:c r="F72" s="186"/>
      <x:c r="G72" s="186"/>
      <x:c r="H72" s="186"/>
      <x:c r="I72" s="186"/>
      <x:c r="J72" s="186"/>
      <x:c r="K72" s="186"/>
      <x:c r="L72" s="186"/>
      <x:c r="M72" s="186"/>
      <x:c r="N72" s="186"/>
      <x:c r="O72" s="186"/>
      <x:c r="P72" s="186"/>
      <x:c r="Q72" s="186"/>
      <x:c r="R72" s="186"/>
      <x:c r="S72" s="186"/>
      <x:c r="T72" s="186"/>
      <x:c r="U72" s="186"/>
      <x:c r="V72" s="186"/>
      <x:c r="W72" s="186"/>
      <x:c r="X72" s="186"/>
      <x:c r="Y72" s="186"/>
      <x:c r="Z72" s="186"/>
    </x:row>
    <x:row r="73">
      <x:c r="A73" s="186"/>
      <x:c r="B73" s="186"/>
      <x:c r="C73" s="186"/>
      <x:c r="D73" s="186"/>
      <x:c r="E73" s="186"/>
      <x:c r="F73" s="186"/>
      <x:c r="G73" s="186"/>
      <x:c r="H73" s="186"/>
      <x:c r="I73" s="186"/>
      <x:c r="J73" s="186"/>
      <x:c r="K73" s="186"/>
      <x:c r="L73" s="186"/>
      <x:c r="M73" s="186"/>
      <x:c r="N73" s="186"/>
      <x:c r="O73" s="186"/>
      <x:c r="P73" s="186"/>
      <x:c r="Q73" s="186"/>
      <x:c r="R73" s="186"/>
      <x:c r="S73" s="186"/>
      <x:c r="T73" s="186"/>
      <x:c r="U73" s="186"/>
      <x:c r="V73" s="186"/>
      <x:c r="W73" s="186"/>
      <x:c r="X73" s="186"/>
      <x:c r="Y73" s="186"/>
      <x:c r="Z73" s="186"/>
    </x:row>
    <x:row r="74">
      <x:c r="A74" s="186"/>
      <x:c r="B74" s="186"/>
      <x:c r="C74" s="186"/>
      <x:c r="D74" s="186"/>
      <x:c r="E74" s="186"/>
      <x:c r="F74" s="186"/>
      <x:c r="G74" s="186"/>
      <x:c r="H74" s="186"/>
      <x:c r="I74" s="186"/>
      <x:c r="J74" s="186"/>
      <x:c r="K74" s="186"/>
      <x:c r="L74" s="186"/>
      <x:c r="M74" s="186"/>
      <x:c r="N74" s="186"/>
      <x:c r="O74" s="186"/>
      <x:c r="P74" s="186"/>
      <x:c r="Q74" s="186"/>
      <x:c r="R74" s="186"/>
      <x:c r="S74" s="186"/>
      <x:c r="T74" s="186"/>
      <x:c r="U74" s="186"/>
      <x:c r="V74" s="186"/>
      <x:c r="W74" s="186"/>
      <x:c r="X74" s="186"/>
      <x:c r="Y74" s="186"/>
      <x:c r="Z74" s="186"/>
    </x:row>
    <x:row r="75">
      <x:c r="A75" s="186"/>
      <x:c r="B75" s="186"/>
      <x:c r="C75" s="186"/>
      <x:c r="D75" s="186"/>
      <x:c r="E75" s="186"/>
      <x:c r="F75" s="186"/>
      <x:c r="G75" s="186"/>
      <x:c r="H75" s="186"/>
      <x:c r="I75" s="186"/>
      <x:c r="J75" s="186"/>
      <x:c r="K75" s="186"/>
      <x:c r="L75" s="186"/>
      <x:c r="M75" s="186"/>
      <x:c r="N75" s="186"/>
      <x:c r="O75" s="186"/>
      <x:c r="P75" s="186"/>
      <x:c r="Q75" s="186"/>
      <x:c r="R75" s="186"/>
      <x:c r="S75" s="186"/>
      <x:c r="T75" s="186"/>
      <x:c r="U75" s="186"/>
      <x:c r="V75" s="186"/>
      <x:c r="W75" s="186"/>
      <x:c r="X75" s="186"/>
      <x:c r="Y75" s="186"/>
      <x:c r="Z75" s="186"/>
    </x:row>
    <x:row r="76">
      <x:c r="A76" s="186"/>
      <x:c r="B76" s="186"/>
      <x:c r="C76" s="186"/>
      <x:c r="D76" s="186"/>
      <x:c r="E76" s="186"/>
      <x:c r="F76" s="186"/>
      <x:c r="G76" s="186"/>
      <x:c r="H76" s="186"/>
      <x:c r="I76" s="186"/>
      <x:c r="J76" s="186"/>
      <x:c r="K76" s="186"/>
      <x:c r="L76" s="186"/>
      <x:c r="M76" s="186"/>
      <x:c r="N76" s="186"/>
      <x:c r="O76" s="186"/>
      <x:c r="P76" s="186"/>
      <x:c r="Q76" s="186"/>
      <x:c r="R76" s="186"/>
      <x:c r="S76" s="186"/>
      <x:c r="T76" s="186"/>
      <x:c r="U76" s="186"/>
      <x:c r="V76" s="186"/>
      <x:c r="W76" s="186"/>
      <x:c r="X76" s="186"/>
      <x:c r="Y76" s="186"/>
      <x:c r="Z76" s="186"/>
    </x:row>
    <x:row r="77">
      <x:c r="A77" s="186"/>
      <x:c r="B77" s="186"/>
      <x:c r="C77" s="186"/>
      <x:c r="D77" s="186"/>
      <x:c r="E77" s="186"/>
      <x:c r="F77" s="186"/>
      <x:c r="G77" s="186"/>
      <x:c r="H77" s="186"/>
      <x:c r="I77" s="186"/>
      <x:c r="J77" s="186"/>
      <x:c r="K77" s="186"/>
      <x:c r="L77" s="186"/>
      <x:c r="M77" s="186"/>
      <x:c r="N77" s="186"/>
      <x:c r="O77" s="186"/>
      <x:c r="P77" s="186"/>
      <x:c r="Q77" s="186"/>
      <x:c r="R77" s="186"/>
      <x:c r="S77" s="186"/>
      <x:c r="T77" s="186"/>
      <x:c r="U77" s="186"/>
      <x:c r="V77" s="186"/>
      <x:c r="W77" s="186"/>
      <x:c r="X77" s="186"/>
      <x:c r="Y77" s="186"/>
      <x:c r="Z77" s="186"/>
    </x:row>
    <x:row r="78">
      <x:c r="A78" s="186"/>
      <x:c r="B78" s="186"/>
      <x:c r="C78" s="186"/>
      <x:c r="D78" s="186"/>
      <x:c r="E78" s="186"/>
      <x:c r="F78" s="186"/>
      <x:c r="G78" s="186"/>
      <x:c r="H78" s="186"/>
      <x:c r="I78" s="186"/>
      <x:c r="J78" s="186"/>
      <x:c r="K78" s="186"/>
      <x:c r="L78" s="186"/>
      <x:c r="M78" s="186"/>
      <x:c r="N78" s="186"/>
      <x:c r="O78" s="186"/>
      <x:c r="P78" s="186"/>
      <x:c r="Q78" s="186"/>
      <x:c r="R78" s="186"/>
      <x:c r="S78" s="186"/>
      <x:c r="T78" s="186"/>
      <x:c r="U78" s="186"/>
      <x:c r="V78" s="186"/>
      <x:c r="W78" s="186"/>
      <x:c r="X78" s="186"/>
      <x:c r="Y78" s="186"/>
      <x:c r="Z78" s="186"/>
    </x:row>
    <x:row r="79">
      <x:c r="A79" s="186"/>
      <x:c r="B79" s="186"/>
      <x:c r="C79" s="186"/>
      <x:c r="D79" s="186"/>
      <x:c r="E79" s="186"/>
      <x:c r="F79" s="186"/>
      <x:c r="G79" s="186"/>
      <x:c r="H79" s="186"/>
      <x:c r="I79" s="186"/>
      <x:c r="J79" s="186"/>
      <x:c r="K79" s="186"/>
      <x:c r="L79" s="186"/>
      <x:c r="M79" s="186"/>
      <x:c r="N79" s="186"/>
      <x:c r="O79" s="186"/>
      <x:c r="P79" s="186"/>
      <x:c r="Q79" s="186"/>
      <x:c r="R79" s="186"/>
      <x:c r="S79" s="186"/>
      <x:c r="T79" s="186"/>
      <x:c r="U79" s="186"/>
      <x:c r="V79" s="186"/>
      <x:c r="W79" s="186"/>
      <x:c r="X79" s="186"/>
      <x:c r="Y79" s="186"/>
      <x:c r="Z79" s="186"/>
    </x:row>
    <x:row r="80">
      <x:c r="A80" s="186"/>
      <x:c r="B80" s="186"/>
      <x:c r="C80" s="186"/>
      <x:c r="D80" s="186"/>
      <x:c r="E80" s="186"/>
      <x:c r="F80" s="186"/>
      <x:c r="G80" s="186"/>
      <x:c r="H80" s="186"/>
      <x:c r="I80" s="186"/>
      <x:c r="J80" s="186"/>
      <x:c r="K80" s="186"/>
      <x:c r="L80" s="186"/>
      <x:c r="M80" s="186"/>
      <x:c r="N80" s="186"/>
      <x:c r="O80" s="186"/>
      <x:c r="P80" s="186"/>
      <x:c r="Q80" s="186"/>
      <x:c r="R80" s="186"/>
      <x:c r="S80" s="186"/>
      <x:c r="T80" s="186"/>
      <x:c r="U80" s="186"/>
      <x:c r="V80" s="186"/>
      <x:c r="W80" s="186"/>
      <x:c r="X80" s="186"/>
      <x:c r="Y80" s="186"/>
      <x:c r="Z80" s="186"/>
    </x:row>
    <x:row r="81">
      <x:c r="A81" s="186"/>
      <x:c r="B81" s="186"/>
      <x:c r="C81" s="186"/>
      <x:c r="D81" s="186"/>
      <x:c r="E81" s="186"/>
      <x:c r="F81" s="186"/>
      <x:c r="G81" s="186"/>
      <x:c r="H81" s="186"/>
      <x:c r="I81" s="186"/>
      <x:c r="J81" s="186"/>
      <x:c r="K81" s="186"/>
      <x:c r="L81" s="186"/>
      <x:c r="M81" s="186"/>
      <x:c r="N81" s="186"/>
      <x:c r="O81" s="186"/>
      <x:c r="P81" s="186"/>
      <x:c r="Q81" s="186"/>
      <x:c r="R81" s="186"/>
      <x:c r="S81" s="186"/>
      <x:c r="T81" s="186"/>
      <x:c r="U81" s="186"/>
      <x:c r="V81" s="186"/>
      <x:c r="W81" s="186"/>
      <x:c r="X81" s="186"/>
      <x:c r="Y81" s="186"/>
      <x:c r="Z81" s="186"/>
    </x:row>
    <x:row r="82">
      <x:c r="A82" s="186"/>
      <x:c r="B82" s="186"/>
      <x:c r="C82" s="186"/>
      <x:c r="D82" s="186"/>
      <x:c r="E82" s="186"/>
      <x:c r="F82" s="186"/>
      <x:c r="G82" s="186"/>
      <x:c r="H82" s="186"/>
      <x:c r="I82" s="186"/>
      <x:c r="J82" s="186"/>
      <x:c r="K82" s="186"/>
      <x:c r="L82" s="186"/>
      <x:c r="M82" s="186"/>
      <x:c r="N82" s="186"/>
      <x:c r="O82" s="186"/>
      <x:c r="P82" s="186"/>
      <x:c r="Q82" s="186"/>
      <x:c r="R82" s="186"/>
      <x:c r="S82" s="186"/>
      <x:c r="T82" s="186"/>
      <x:c r="U82" s="186"/>
      <x:c r="V82" s="186"/>
      <x:c r="W82" s="186"/>
      <x:c r="X82" s="186"/>
      <x:c r="Y82" s="186"/>
      <x:c r="Z82" s="186"/>
    </x:row>
    <x:row r="83">
      <x:c r="A83" s="186"/>
      <x:c r="B83" s="186"/>
      <x:c r="C83" s="186"/>
      <x:c r="D83" s="186"/>
      <x:c r="E83" s="186"/>
      <x:c r="F83" s="186"/>
      <x:c r="G83" s="186"/>
      <x:c r="H83" s="186"/>
      <x:c r="I83" s="186"/>
      <x:c r="J83" s="186"/>
      <x:c r="K83" s="186"/>
      <x:c r="L83" s="186"/>
      <x:c r="M83" s="186"/>
      <x:c r="N83" s="186"/>
      <x:c r="O83" s="186"/>
      <x:c r="P83" s="186"/>
      <x:c r="Q83" s="186"/>
      <x:c r="R83" s="186"/>
      <x:c r="S83" s="186"/>
      <x:c r="T83" s="186"/>
      <x:c r="U83" s="186"/>
      <x:c r="V83" s="186"/>
      <x:c r="W83" s="186"/>
      <x:c r="X83" s="186"/>
      <x:c r="Y83" s="186"/>
      <x:c r="Z83" s="186"/>
    </x:row>
    <x:row r="84">
      <x:c r="A84" s="186"/>
      <x:c r="B84" s="186"/>
      <x:c r="C84" s="186"/>
      <x:c r="D84" s="186"/>
      <x:c r="E84" s="186"/>
      <x:c r="F84" s="186"/>
      <x:c r="G84" s="186"/>
      <x:c r="H84" s="186"/>
      <x:c r="I84" s="186"/>
      <x:c r="J84" s="186"/>
      <x:c r="K84" s="186"/>
      <x:c r="L84" s="186"/>
      <x:c r="M84" s="186"/>
      <x:c r="N84" s="186"/>
      <x:c r="O84" s="186"/>
      <x:c r="P84" s="186"/>
      <x:c r="Q84" s="186"/>
      <x:c r="R84" s="186"/>
      <x:c r="S84" s="186"/>
      <x:c r="T84" s="186"/>
      <x:c r="U84" s="186"/>
      <x:c r="V84" s="186"/>
      <x:c r="W84" s="186"/>
      <x:c r="X84" s="186"/>
      <x:c r="Y84" s="186"/>
      <x:c r="Z84" s="186"/>
    </x:row>
    <x:row r="85">
      <x:c r="A85" s="186"/>
      <x:c r="B85" s="186"/>
      <x:c r="C85" s="186"/>
      <x:c r="D85" s="186"/>
      <x:c r="E85" s="186"/>
      <x:c r="F85" s="186"/>
      <x:c r="G85" s="186"/>
      <x:c r="H85" s="186"/>
      <x:c r="I85" s="186"/>
      <x:c r="J85" s="186"/>
      <x:c r="K85" s="186"/>
      <x:c r="L85" s="186"/>
      <x:c r="M85" s="186"/>
      <x:c r="N85" s="186"/>
      <x:c r="O85" s="186"/>
      <x:c r="P85" s="186"/>
      <x:c r="Q85" s="186"/>
      <x:c r="R85" s="186"/>
      <x:c r="S85" s="186"/>
      <x:c r="T85" s="186"/>
      <x:c r="U85" s="186"/>
      <x:c r="V85" s="186"/>
      <x:c r="W85" s="186"/>
      <x:c r="X85" s="186"/>
      <x:c r="Y85" s="186"/>
      <x:c r="Z85" s="186"/>
    </x:row>
    <x:row r="86">
      <x:c r="A86" s="186"/>
      <x:c r="B86" s="186"/>
      <x:c r="C86" s="186"/>
      <x:c r="D86" s="186"/>
      <x:c r="E86" s="186"/>
      <x:c r="F86" s="186"/>
      <x:c r="G86" s="186"/>
      <x:c r="H86" s="186"/>
      <x:c r="I86" s="186"/>
      <x:c r="J86" s="186"/>
      <x:c r="K86" s="186"/>
      <x:c r="L86" s="186"/>
      <x:c r="M86" s="186"/>
      <x:c r="N86" s="186"/>
      <x:c r="O86" s="186"/>
      <x:c r="P86" s="186"/>
      <x:c r="Q86" s="186"/>
      <x:c r="R86" s="186"/>
      <x:c r="S86" s="186"/>
      <x:c r="T86" s="186"/>
      <x:c r="U86" s="186"/>
      <x:c r="V86" s="186"/>
      <x:c r="W86" s="186"/>
      <x:c r="X86" s="186"/>
      <x:c r="Y86" s="186"/>
      <x:c r="Z86" s="186"/>
    </x:row>
    <x:row r="87">
      <x:c r="A87" s="186"/>
      <x:c r="B87" s="186"/>
      <x:c r="C87" s="186"/>
      <x:c r="D87" s="186"/>
      <x:c r="E87" s="186"/>
      <x:c r="F87" s="186"/>
      <x:c r="G87" s="186"/>
      <x:c r="H87" s="186"/>
      <x:c r="I87" s="186"/>
      <x:c r="J87" s="186"/>
      <x:c r="K87" s="186"/>
      <x:c r="L87" s="186"/>
      <x:c r="M87" s="186"/>
      <x:c r="N87" s="186"/>
      <x:c r="O87" s="186"/>
      <x:c r="P87" s="186"/>
      <x:c r="Q87" s="186"/>
      <x:c r="R87" s="186"/>
      <x:c r="S87" s="186"/>
      <x:c r="T87" s="186"/>
      <x:c r="U87" s="186"/>
      <x:c r="V87" s="186"/>
      <x:c r="W87" s="186"/>
      <x:c r="X87" s="186"/>
      <x:c r="Y87" s="186"/>
      <x:c r="Z87" s="186"/>
    </x:row>
    <x:row r="88">
      <x:c r="A88" s="186"/>
      <x:c r="B88" s="186"/>
      <x:c r="C88" s="186"/>
      <x:c r="D88" s="186"/>
      <x:c r="E88" s="186"/>
      <x:c r="F88" s="186"/>
      <x:c r="G88" s="186"/>
      <x:c r="H88" s="186"/>
      <x:c r="I88" s="186"/>
      <x:c r="J88" s="186"/>
      <x:c r="K88" s="186"/>
      <x:c r="L88" s="186"/>
      <x:c r="M88" s="186"/>
      <x:c r="N88" s="186"/>
      <x:c r="O88" s="186"/>
      <x:c r="P88" s="186"/>
      <x:c r="Q88" s="186"/>
      <x:c r="R88" s="186"/>
      <x:c r="S88" s="186"/>
      <x:c r="T88" s="186"/>
      <x:c r="U88" s="186"/>
      <x:c r="V88" s="186"/>
      <x:c r="W88" s="186"/>
      <x:c r="X88" s="186"/>
      <x:c r="Y88" s="186"/>
      <x:c r="Z88" s="186"/>
    </x:row>
    <x:row r="89">
      <x:c r="A89" s="186"/>
      <x:c r="B89" s="186"/>
      <x:c r="C89" s="186"/>
      <x:c r="D89" s="186"/>
      <x:c r="E89" s="186"/>
      <x:c r="F89" s="186"/>
      <x:c r="G89" s="186"/>
      <x:c r="H89" s="186"/>
      <x:c r="I89" s="186"/>
      <x:c r="J89" s="186"/>
      <x:c r="K89" s="186"/>
      <x:c r="L89" s="186"/>
      <x:c r="M89" s="186"/>
      <x:c r="N89" s="186"/>
      <x:c r="O89" s="186"/>
      <x:c r="P89" s="186"/>
      <x:c r="Q89" s="186"/>
      <x:c r="R89" s="186"/>
      <x:c r="S89" s="186"/>
      <x:c r="T89" s="186"/>
      <x:c r="U89" s="186"/>
      <x:c r="V89" s="186"/>
      <x:c r="W89" s="186"/>
      <x:c r="X89" s="186"/>
      <x:c r="Y89" s="186"/>
      <x:c r="Z89" s="186"/>
    </x:row>
    <x:row r="90">
      <x:c r="A90" s="186"/>
      <x:c r="B90" s="186"/>
      <x:c r="C90" s="186"/>
      <x:c r="D90" s="186"/>
      <x:c r="E90" s="186"/>
      <x:c r="F90" s="186"/>
      <x:c r="G90" s="186"/>
      <x:c r="H90" s="186"/>
      <x:c r="I90" s="186"/>
      <x:c r="J90" s="186"/>
      <x:c r="K90" s="186"/>
      <x:c r="L90" s="186"/>
      <x:c r="M90" s="186"/>
      <x:c r="N90" s="186"/>
      <x:c r="O90" s="186"/>
      <x:c r="P90" s="186"/>
      <x:c r="Q90" s="186"/>
      <x:c r="R90" s="186"/>
      <x:c r="S90" s="186"/>
      <x:c r="T90" s="186"/>
      <x:c r="U90" s="186"/>
      <x:c r="V90" s="186"/>
      <x:c r="W90" s="186"/>
      <x:c r="X90" s="186"/>
      <x:c r="Y90" s="186"/>
      <x:c r="Z90" s="186"/>
    </x:row>
    <x:row r="91">
      <x:c r="A91" s="186"/>
      <x:c r="B91" s="186"/>
      <x:c r="C91" s="186"/>
      <x:c r="D91" s="186"/>
      <x:c r="E91" s="186"/>
      <x:c r="F91" s="186"/>
      <x:c r="G91" s="186"/>
      <x:c r="H91" s="186"/>
      <x:c r="I91" s="186"/>
      <x:c r="J91" s="186"/>
      <x:c r="K91" s="186"/>
      <x:c r="L91" s="186"/>
      <x:c r="M91" s="186"/>
      <x:c r="N91" s="186"/>
      <x:c r="O91" s="186"/>
      <x:c r="P91" s="186"/>
      <x:c r="Q91" s="186"/>
      <x:c r="R91" s="186"/>
      <x:c r="S91" s="186"/>
      <x:c r="T91" s="186"/>
      <x:c r="U91" s="186"/>
      <x:c r="V91" s="186"/>
      <x:c r="W91" s="186"/>
      <x:c r="X91" s="186"/>
      <x:c r="Y91" s="186"/>
      <x:c r="Z91" s="186"/>
    </x:row>
    <x:row r="92">
      <x:c r="A92" s="186"/>
      <x:c r="B92" s="186"/>
      <x:c r="C92" s="186"/>
      <x:c r="D92" s="186"/>
      <x:c r="E92" s="186"/>
      <x:c r="F92" s="186"/>
      <x:c r="G92" s="186"/>
      <x:c r="H92" s="186"/>
      <x:c r="I92" s="186"/>
      <x:c r="J92" s="186"/>
      <x:c r="K92" s="186"/>
      <x:c r="L92" s="186"/>
      <x:c r="M92" s="186"/>
      <x:c r="N92" s="186"/>
      <x:c r="O92" s="186"/>
      <x:c r="P92" s="186"/>
      <x:c r="Q92" s="186"/>
      <x:c r="R92" s="186"/>
      <x:c r="S92" s="186"/>
      <x:c r="T92" s="186"/>
      <x:c r="U92" s="186"/>
      <x:c r="V92" s="186"/>
      <x:c r="W92" s="186"/>
      <x:c r="X92" s="186"/>
      <x:c r="Y92" s="186"/>
      <x:c r="Z92" s="186"/>
    </x:row>
    <x:row r="93">
      <x:c r="A93" s="186"/>
      <x:c r="B93" s="186"/>
      <x:c r="C93" s="186"/>
      <x:c r="D93" s="186"/>
      <x:c r="E93" s="186"/>
      <x:c r="F93" s="186"/>
      <x:c r="G93" s="186"/>
      <x:c r="H93" s="186"/>
      <x:c r="I93" s="186"/>
      <x:c r="J93" s="186"/>
      <x:c r="K93" s="186"/>
      <x:c r="L93" s="186"/>
      <x:c r="M93" s="186"/>
      <x:c r="N93" s="186"/>
      <x:c r="O93" s="186"/>
      <x:c r="P93" s="186"/>
      <x:c r="Q93" s="186"/>
      <x:c r="R93" s="186"/>
      <x:c r="S93" s="186"/>
      <x:c r="T93" s="186"/>
      <x:c r="U93" s="186"/>
      <x:c r="V93" s="186"/>
      <x:c r="W93" s="186"/>
      <x:c r="X93" s="186"/>
      <x:c r="Y93" s="186"/>
      <x:c r="Z93" s="186"/>
    </x:row>
    <x:row r="94">
      <x:c r="A94" s="186"/>
      <x:c r="B94" s="186"/>
      <x:c r="C94" s="186"/>
      <x:c r="D94" s="186"/>
      <x:c r="E94" s="186"/>
      <x:c r="F94" s="186"/>
      <x:c r="G94" s="186"/>
      <x:c r="H94" s="186"/>
      <x:c r="I94" s="186"/>
      <x:c r="J94" s="186"/>
      <x:c r="K94" s="186"/>
      <x:c r="L94" s="186"/>
      <x:c r="M94" s="186"/>
      <x:c r="N94" s="186"/>
      <x:c r="O94" s="186"/>
      <x:c r="P94" s="186"/>
      <x:c r="Q94" s="186"/>
      <x:c r="R94" s="186"/>
      <x:c r="S94" s="186"/>
      <x:c r="T94" s="186"/>
      <x:c r="U94" s="186"/>
      <x:c r="V94" s="186"/>
      <x:c r="W94" s="186"/>
      <x:c r="X94" s="186"/>
      <x:c r="Y94" s="186"/>
      <x:c r="Z94" s="186"/>
    </x:row>
    <x:row r="95">
      <x:c r="A95" s="186"/>
      <x:c r="B95" s="186"/>
      <x:c r="C95" s="186"/>
      <x:c r="D95" s="186"/>
      <x:c r="E95" s="186"/>
      <x:c r="F95" s="186"/>
      <x:c r="G95" s="186"/>
      <x:c r="H95" s="186"/>
      <x:c r="I95" s="186"/>
      <x:c r="J95" s="186"/>
      <x:c r="K95" s="186"/>
      <x:c r="L95" s="186"/>
      <x:c r="M95" s="186"/>
      <x:c r="N95" s="186"/>
      <x:c r="O95" s="186"/>
      <x:c r="P95" s="186"/>
      <x:c r="Q95" s="186"/>
      <x:c r="R95" s="186"/>
      <x:c r="S95" s="186"/>
      <x:c r="T95" s="186"/>
      <x:c r="U95" s="186"/>
      <x:c r="V95" s="186"/>
      <x:c r="W95" s="186"/>
      <x:c r="X95" s="186"/>
      <x:c r="Y95" s="186"/>
      <x:c r="Z95" s="186"/>
    </x:row>
    <x:row r="96">
      <x:c r="A96" s="186"/>
      <x:c r="B96" s="186"/>
      <x:c r="C96" s="186"/>
      <x:c r="D96" s="186"/>
      <x:c r="E96" s="186"/>
      <x:c r="F96" s="186"/>
      <x:c r="G96" s="186"/>
      <x:c r="H96" s="186"/>
      <x:c r="I96" s="186"/>
      <x:c r="J96" s="186"/>
      <x:c r="K96" s="186"/>
      <x:c r="L96" s="186"/>
      <x:c r="M96" s="186"/>
      <x:c r="N96" s="186"/>
      <x:c r="O96" s="186"/>
      <x:c r="P96" s="186"/>
      <x:c r="Q96" s="186"/>
      <x:c r="R96" s="186"/>
      <x:c r="S96" s="186"/>
      <x:c r="T96" s="186"/>
      <x:c r="U96" s="186"/>
      <x:c r="V96" s="186"/>
      <x:c r="W96" s="186"/>
      <x:c r="X96" s="186"/>
      <x:c r="Y96" s="186"/>
      <x:c r="Z96" s="186"/>
    </x:row>
    <x:row r="97">
      <x:c r="A97" s="186"/>
      <x:c r="B97" s="186"/>
      <x:c r="C97" s="186"/>
      <x:c r="D97" s="186"/>
      <x:c r="E97" s="186"/>
      <x:c r="F97" s="186"/>
      <x:c r="G97" s="186"/>
      <x:c r="H97" s="186"/>
      <x:c r="I97" s="186"/>
      <x:c r="J97" s="186"/>
      <x:c r="K97" s="186"/>
      <x:c r="L97" s="186"/>
      <x:c r="M97" s="186"/>
      <x:c r="N97" s="186"/>
      <x:c r="O97" s="186"/>
      <x:c r="P97" s="186"/>
      <x:c r="Q97" s="186"/>
      <x:c r="R97" s="186"/>
      <x:c r="S97" s="186"/>
      <x:c r="T97" s="186"/>
      <x:c r="U97" s="186"/>
      <x:c r="V97" s="186"/>
      <x:c r="W97" s="186"/>
      <x:c r="X97" s="186"/>
      <x:c r="Y97" s="186"/>
      <x:c r="Z97" s="186"/>
    </x:row>
    <x:row r="98">
      <x:c r="A98" s="186"/>
      <x:c r="B98" s="186"/>
      <x:c r="C98" s="186"/>
      <x:c r="D98" s="186"/>
      <x:c r="E98" s="186"/>
      <x:c r="F98" s="186"/>
      <x:c r="G98" s="186"/>
      <x:c r="H98" s="186"/>
      <x:c r="I98" s="186"/>
      <x:c r="J98" s="186"/>
      <x:c r="K98" s="186"/>
      <x:c r="L98" s="186"/>
      <x:c r="M98" s="186"/>
      <x:c r="N98" s="186"/>
      <x:c r="O98" s="186"/>
      <x:c r="P98" s="186"/>
      <x:c r="Q98" s="186"/>
      <x:c r="R98" s="186"/>
      <x:c r="S98" s="186"/>
      <x:c r="T98" s="186"/>
      <x:c r="U98" s="186"/>
      <x:c r="V98" s="186"/>
      <x:c r="W98" s="186"/>
      <x:c r="X98" s="186"/>
      <x:c r="Y98" s="186"/>
      <x:c r="Z98" s="186"/>
    </x:row>
    <x:row r="99">
      <x:c r="A99" s="186"/>
      <x:c r="B99" s="186"/>
      <x:c r="C99" s="186"/>
      <x:c r="D99" s="186"/>
      <x:c r="E99" s="186"/>
      <x:c r="F99" s="186"/>
      <x:c r="G99" s="186"/>
      <x:c r="H99" s="186"/>
      <x:c r="I99" s="186"/>
      <x:c r="J99" s="186"/>
      <x:c r="K99" s="186"/>
      <x:c r="L99" s="186"/>
      <x:c r="M99" s="186"/>
      <x:c r="N99" s="186"/>
      <x:c r="O99" s="186"/>
      <x:c r="P99" s="186"/>
      <x:c r="Q99" s="186"/>
      <x:c r="R99" s="186"/>
      <x:c r="S99" s="186"/>
      <x:c r="T99" s="186"/>
      <x:c r="U99" s="186"/>
      <x:c r="V99" s="186"/>
      <x:c r="W99" s="186"/>
      <x:c r="X99" s="186"/>
      <x:c r="Y99" s="186"/>
      <x:c r="Z99" s="186"/>
    </x:row>
    <x:row r="100">
      <x:c r="A100" s="186"/>
      <x:c r="B100" s="186"/>
      <x:c r="C100" s="186"/>
      <x:c r="D100" s="186"/>
      <x:c r="E100" s="186"/>
      <x:c r="F100" s="186"/>
      <x:c r="G100" s="186"/>
      <x:c r="H100" s="186"/>
      <x:c r="I100" s="186"/>
      <x:c r="J100" s="186"/>
      <x:c r="K100" s="186"/>
      <x:c r="L100" s="186"/>
      <x:c r="M100" s="186"/>
      <x:c r="N100" s="186"/>
      <x:c r="O100" s="186"/>
      <x:c r="P100" s="186"/>
      <x:c r="Q100" s="186"/>
      <x:c r="R100" s="186"/>
      <x:c r="S100" s="186"/>
      <x:c r="T100" s="186"/>
      <x:c r="U100" s="186"/>
      <x:c r="V100" s="186"/>
      <x:c r="W100" s="186"/>
      <x:c r="X100" s="186"/>
      <x:c r="Y100" s="186"/>
      <x:c r="Z100" s="186"/>
    </x:row>
    <x:row r="101">
      <x:c r="A101" s="186"/>
      <x:c r="B101" s="186"/>
      <x:c r="C101" s="186"/>
      <x:c r="D101" s="186"/>
      <x:c r="E101" s="186"/>
      <x:c r="F101" s="186"/>
      <x:c r="G101" s="186"/>
      <x:c r="H101" s="186"/>
      <x:c r="I101" s="186"/>
      <x:c r="J101" s="186"/>
      <x:c r="K101" s="186"/>
      <x:c r="L101" s="186"/>
      <x:c r="M101" s="186"/>
      <x:c r="N101" s="186"/>
      <x:c r="O101" s="186"/>
      <x:c r="P101" s="186"/>
      <x:c r="Q101" s="186"/>
      <x:c r="R101" s="186"/>
      <x:c r="S101" s="186"/>
      <x:c r="T101" s="186"/>
      <x:c r="U101" s="186"/>
      <x:c r="V101" s="186"/>
      <x:c r="W101" s="186"/>
      <x:c r="X101" s="186"/>
      <x:c r="Y101" s="186"/>
      <x:c r="Z101" s="186"/>
    </x:row>
    <x:row r="102">
      <x:c r="A102" s="186"/>
      <x:c r="B102" s="186"/>
      <x:c r="C102" s="186"/>
      <x:c r="D102" s="186"/>
      <x:c r="E102" s="186"/>
      <x:c r="F102" s="186"/>
      <x:c r="G102" s="186"/>
      <x:c r="H102" s="186"/>
      <x:c r="I102" s="186"/>
      <x:c r="J102" s="186"/>
      <x:c r="K102" s="186"/>
      <x:c r="L102" s="186"/>
      <x:c r="M102" s="186"/>
      <x:c r="N102" s="186"/>
      <x:c r="O102" s="186"/>
      <x:c r="P102" s="186"/>
      <x:c r="Q102" s="186"/>
      <x:c r="R102" s="186"/>
      <x:c r="S102" s="186"/>
      <x:c r="T102" s="186"/>
      <x:c r="U102" s="186"/>
      <x:c r="V102" s="186"/>
      <x:c r="W102" s="186"/>
      <x:c r="X102" s="186"/>
      <x:c r="Y102" s="186"/>
      <x:c r="Z102" s="186"/>
    </x:row>
    <x:row r="103">
      <x:c r="A103" s="186"/>
      <x:c r="B103" s="186"/>
      <x:c r="C103" s="186"/>
      <x:c r="D103" s="186"/>
      <x:c r="E103" s="186"/>
      <x:c r="F103" s="186"/>
      <x:c r="G103" s="186"/>
      <x:c r="H103" s="186"/>
      <x:c r="I103" s="186"/>
      <x:c r="J103" s="186"/>
      <x:c r="K103" s="186"/>
      <x:c r="L103" s="186"/>
      <x:c r="M103" s="186"/>
      <x:c r="N103" s="186"/>
      <x:c r="O103" s="186"/>
      <x:c r="P103" s="186"/>
      <x:c r="Q103" s="186"/>
      <x:c r="R103" s="186"/>
      <x:c r="S103" s="186"/>
      <x:c r="T103" s="186"/>
      <x:c r="U103" s="186"/>
      <x:c r="V103" s="186"/>
      <x:c r="W103" s="186"/>
      <x:c r="X103" s="186"/>
      <x:c r="Y103" s="186"/>
      <x:c r="Z103" s="186"/>
    </x:row>
    <x:row r="104">
      <x:c r="A104" s="186"/>
      <x:c r="B104" s="186"/>
      <x:c r="C104" s="186"/>
      <x:c r="D104" s="186"/>
      <x:c r="E104" s="186"/>
      <x:c r="F104" s="186"/>
      <x:c r="G104" s="186"/>
      <x:c r="H104" s="186"/>
      <x:c r="I104" s="186"/>
      <x:c r="J104" s="186"/>
      <x:c r="K104" s="186"/>
      <x:c r="L104" s="186"/>
      <x:c r="M104" s="186"/>
      <x:c r="N104" s="186"/>
      <x:c r="O104" s="186"/>
      <x:c r="P104" s="186"/>
      <x:c r="Q104" s="186"/>
      <x:c r="R104" s="186"/>
      <x:c r="S104" s="186"/>
      <x:c r="T104" s="186"/>
      <x:c r="U104" s="186"/>
      <x:c r="V104" s="186"/>
      <x:c r="W104" s="186"/>
      <x:c r="X104" s="186"/>
      <x:c r="Y104" s="186"/>
      <x:c r="Z104" s="186"/>
    </x:row>
    <x:row r="105">
      <x:c r="A105" s="186"/>
      <x:c r="B105" s="186"/>
      <x:c r="C105" s="186"/>
      <x:c r="D105" s="186"/>
      <x:c r="E105" s="186"/>
      <x:c r="F105" s="186"/>
      <x:c r="G105" s="186"/>
      <x:c r="H105" s="186"/>
      <x:c r="I105" s="186"/>
      <x:c r="J105" s="186"/>
      <x:c r="K105" s="186"/>
      <x:c r="L105" s="186"/>
      <x:c r="M105" s="186"/>
      <x:c r="N105" s="186"/>
      <x:c r="O105" s="186"/>
      <x:c r="P105" s="186"/>
      <x:c r="Q105" s="186"/>
      <x:c r="R105" s="186"/>
      <x:c r="S105" s="186"/>
      <x:c r="T105" s="186"/>
      <x:c r="U105" s="186"/>
      <x:c r="V105" s="186"/>
      <x:c r="W105" s="186"/>
      <x:c r="X105" s="186"/>
      <x:c r="Y105" s="186"/>
      <x:c r="Z105" s="186"/>
    </x:row>
    <x:row r="106">
      <x:c r="A106" s="186"/>
      <x:c r="B106" s="186"/>
      <x:c r="C106" s="186"/>
      <x:c r="D106" s="186"/>
      <x:c r="E106" s="186"/>
      <x:c r="F106" s="186"/>
      <x:c r="G106" s="186"/>
      <x:c r="H106" s="186"/>
      <x:c r="I106" s="186"/>
      <x:c r="J106" s="186"/>
      <x:c r="K106" s="186"/>
      <x:c r="L106" s="186"/>
      <x:c r="M106" s="186"/>
      <x:c r="N106" s="186"/>
      <x:c r="O106" s="186"/>
      <x:c r="P106" s="186"/>
      <x:c r="Q106" s="186"/>
      <x:c r="R106" s="186"/>
      <x:c r="S106" s="186"/>
      <x:c r="T106" s="186"/>
      <x:c r="U106" s="186"/>
      <x:c r="V106" s="186"/>
      <x:c r="W106" s="186"/>
      <x:c r="X106" s="186"/>
      <x:c r="Y106" s="186"/>
      <x:c r="Z106" s="186"/>
    </x:row>
    <x:row r="107">
      <x:c r="A107" s="186"/>
      <x:c r="B107" s="186"/>
      <x:c r="C107" s="186"/>
      <x:c r="D107" s="186"/>
      <x:c r="E107" s="186"/>
      <x:c r="F107" s="186"/>
      <x:c r="G107" s="186"/>
      <x:c r="H107" s="186"/>
      <x:c r="I107" s="186"/>
      <x:c r="J107" s="186"/>
      <x:c r="K107" s="186"/>
      <x:c r="L107" s="186"/>
      <x:c r="M107" s="186"/>
      <x:c r="N107" s="186"/>
      <x:c r="O107" s="186"/>
      <x:c r="P107" s="186"/>
      <x:c r="Q107" s="186"/>
      <x:c r="R107" s="186"/>
      <x:c r="S107" s="186"/>
      <x:c r="T107" s="186"/>
      <x:c r="U107" s="186"/>
      <x:c r="V107" s="186"/>
      <x:c r="W107" s="186"/>
      <x:c r="X107" s="186"/>
      <x:c r="Y107" s="186"/>
      <x:c r="Z107" s="186"/>
    </x:row>
    <x:row r="108">
      <x:c r="A108" s="186"/>
      <x:c r="B108" s="186"/>
      <x:c r="C108" s="186"/>
      <x:c r="D108" s="186"/>
      <x:c r="E108" s="186"/>
      <x:c r="F108" s="186"/>
      <x:c r="G108" s="186"/>
      <x:c r="H108" s="186"/>
      <x:c r="I108" s="186"/>
      <x:c r="J108" s="186"/>
      <x:c r="K108" s="186"/>
      <x:c r="L108" s="186"/>
      <x:c r="M108" s="186"/>
      <x:c r="N108" s="186"/>
      <x:c r="O108" s="186"/>
      <x:c r="P108" s="186"/>
      <x:c r="Q108" s="186"/>
      <x:c r="R108" s="186"/>
      <x:c r="S108" s="186"/>
      <x:c r="T108" s="186"/>
      <x:c r="U108" s="186"/>
      <x:c r="V108" s="186"/>
      <x:c r="W108" s="186"/>
      <x:c r="X108" s="186"/>
      <x:c r="Y108" s="186"/>
      <x:c r="Z108" s="186"/>
    </x:row>
    <x:row r="109">
      <x:c r="A109" s="186"/>
      <x:c r="B109" s="186"/>
      <x:c r="C109" s="186"/>
      <x:c r="D109" s="186"/>
      <x:c r="E109" s="186"/>
      <x:c r="F109" s="186"/>
      <x:c r="G109" s="186"/>
      <x:c r="H109" s="186"/>
      <x:c r="I109" s="186"/>
      <x:c r="J109" s="186"/>
      <x:c r="K109" s="186"/>
      <x:c r="L109" s="186"/>
      <x:c r="M109" s="186"/>
      <x:c r="N109" s="186"/>
      <x:c r="O109" s="186"/>
      <x:c r="P109" s="186"/>
      <x:c r="Q109" s="186"/>
      <x:c r="R109" s="186"/>
      <x:c r="S109" s="186"/>
      <x:c r="T109" s="186"/>
      <x:c r="U109" s="186"/>
      <x:c r="V109" s="186"/>
      <x:c r="W109" s="186"/>
      <x:c r="X109" s="186"/>
      <x:c r="Y109" s="186"/>
      <x:c r="Z109" s="186"/>
    </x:row>
    <x:row r="110">
      <x:c r="A110" s="186"/>
      <x:c r="B110" s="186"/>
      <x:c r="C110" s="186"/>
      <x:c r="D110" s="186"/>
      <x:c r="E110" s="186"/>
      <x:c r="F110" s="186"/>
      <x:c r="G110" s="186"/>
      <x:c r="H110" s="186"/>
      <x:c r="I110" s="186"/>
      <x:c r="J110" s="186"/>
      <x:c r="K110" s="186"/>
      <x:c r="L110" s="186"/>
      <x:c r="M110" s="186"/>
      <x:c r="N110" s="186"/>
      <x:c r="O110" s="186"/>
      <x:c r="P110" s="186"/>
      <x:c r="Q110" s="186"/>
      <x:c r="R110" s="186"/>
      <x:c r="S110" s="186"/>
      <x:c r="T110" s="186"/>
      <x:c r="U110" s="186"/>
      <x:c r="V110" s="186"/>
      <x:c r="W110" s="186"/>
      <x:c r="X110" s="186"/>
      <x:c r="Y110" s="186"/>
      <x:c r="Z110" s="186"/>
    </x:row>
    <x:row r="111">
      <x:c r="A111" s="186"/>
      <x:c r="B111" s="186"/>
      <x:c r="C111" s="186"/>
      <x:c r="D111" s="186"/>
      <x:c r="E111" s="186"/>
      <x:c r="F111" s="186"/>
      <x:c r="G111" s="186"/>
      <x:c r="H111" s="186"/>
      <x:c r="I111" s="186"/>
      <x:c r="J111" s="186"/>
      <x:c r="K111" s="186"/>
      <x:c r="L111" s="186"/>
      <x:c r="M111" s="186"/>
      <x:c r="N111" s="186"/>
      <x:c r="O111" s="186"/>
      <x:c r="P111" s="186"/>
      <x:c r="Q111" s="186"/>
      <x:c r="R111" s="186"/>
      <x:c r="S111" s="186"/>
      <x:c r="T111" s="186"/>
      <x:c r="U111" s="186"/>
      <x:c r="V111" s="186"/>
      <x:c r="W111" s="186"/>
      <x:c r="X111" s="186"/>
      <x:c r="Y111" s="186"/>
      <x:c r="Z111" s="186"/>
    </x:row>
    <x:row r="112">
      <x:c r="A112" s="186"/>
      <x:c r="B112" s="186"/>
      <x:c r="C112" s="186"/>
      <x:c r="D112" s="186"/>
      <x:c r="E112" s="186"/>
      <x:c r="F112" s="186"/>
      <x:c r="G112" s="186"/>
      <x:c r="H112" s="186"/>
      <x:c r="I112" s="186"/>
      <x:c r="J112" s="186"/>
      <x:c r="K112" s="186"/>
      <x:c r="L112" s="186"/>
      <x:c r="M112" s="186"/>
      <x:c r="N112" s="186"/>
      <x:c r="O112" s="186"/>
      <x:c r="P112" s="186"/>
      <x:c r="Q112" s="186"/>
      <x:c r="R112" s="186"/>
      <x:c r="S112" s="186"/>
      <x:c r="T112" s="186"/>
      <x:c r="U112" s="186"/>
      <x:c r="V112" s="186"/>
      <x:c r="W112" s="186"/>
      <x:c r="X112" s="186"/>
      <x:c r="Y112" s="186"/>
      <x:c r="Z112" s="186"/>
    </x:row>
    <x:row r="113">
      <x:c r="A113" s="186"/>
      <x:c r="B113" s="186"/>
      <x:c r="C113" s="186"/>
      <x:c r="D113" s="186"/>
      <x:c r="E113" s="186"/>
      <x:c r="F113" s="186"/>
      <x:c r="G113" s="186"/>
      <x:c r="H113" s="186"/>
      <x:c r="I113" s="186"/>
      <x:c r="J113" s="186"/>
      <x:c r="K113" s="186"/>
      <x:c r="L113" s="186"/>
      <x:c r="M113" s="186"/>
      <x:c r="N113" s="186"/>
      <x:c r="O113" s="186"/>
      <x:c r="P113" s="186"/>
      <x:c r="Q113" s="186"/>
      <x:c r="R113" s="186"/>
      <x:c r="S113" s="186"/>
      <x:c r="T113" s="186"/>
      <x:c r="U113" s="186"/>
      <x:c r="V113" s="186"/>
      <x:c r="W113" s="186"/>
      <x:c r="X113" s="186"/>
      <x:c r="Y113" s="186"/>
      <x:c r="Z113" s="186"/>
    </x:row>
    <x:row r="114">
      <x:c r="A114" s="186"/>
      <x:c r="B114" s="186"/>
      <x:c r="C114" s="186"/>
      <x:c r="D114" s="186"/>
      <x:c r="E114" s="186"/>
      <x:c r="F114" s="186"/>
      <x:c r="G114" s="186"/>
      <x:c r="H114" s="186"/>
      <x:c r="I114" s="186"/>
      <x:c r="J114" s="186"/>
      <x:c r="K114" s="186"/>
      <x:c r="L114" s="186"/>
      <x:c r="M114" s="186"/>
      <x:c r="N114" s="186"/>
      <x:c r="O114" s="186"/>
      <x:c r="P114" s="186"/>
      <x:c r="Q114" s="186"/>
      <x:c r="R114" s="186"/>
      <x:c r="S114" s="186"/>
      <x:c r="T114" s="186"/>
      <x:c r="U114" s="186"/>
      <x:c r="V114" s="186"/>
      <x:c r="W114" s="186"/>
      <x:c r="X114" s="186"/>
      <x:c r="Y114" s="186"/>
      <x:c r="Z114" s="186"/>
    </x:row>
    <x:row r="115">
      <x:c r="A115" s="186"/>
      <x:c r="B115" s="186"/>
      <x:c r="C115" s="186"/>
      <x:c r="D115" s="186"/>
      <x:c r="E115" s="186"/>
      <x:c r="F115" s="186"/>
      <x:c r="G115" s="186"/>
      <x:c r="H115" s="186"/>
      <x:c r="I115" s="186"/>
      <x:c r="J115" s="186"/>
      <x:c r="K115" s="186"/>
      <x:c r="L115" s="186"/>
      <x:c r="M115" s="186"/>
      <x:c r="N115" s="186"/>
      <x:c r="O115" s="186"/>
      <x:c r="P115" s="186"/>
      <x:c r="Q115" s="186"/>
      <x:c r="R115" s="186"/>
      <x:c r="S115" s="186"/>
      <x:c r="T115" s="186"/>
      <x:c r="U115" s="186"/>
      <x:c r="V115" s="186"/>
      <x:c r="W115" s="186"/>
      <x:c r="X115" s="186"/>
      <x:c r="Y115" s="186"/>
      <x:c r="Z115" s="186"/>
    </x:row>
    <x:row r="116">
      <x:c r="A116" s="186"/>
      <x:c r="B116" s="186"/>
      <x:c r="C116" s="186"/>
      <x:c r="D116" s="186"/>
      <x:c r="E116" s="186"/>
      <x:c r="F116" s="186"/>
      <x:c r="G116" s="186"/>
      <x:c r="H116" s="186"/>
      <x:c r="I116" s="186"/>
      <x:c r="J116" s="186"/>
      <x:c r="K116" s="186"/>
      <x:c r="L116" s="186"/>
      <x:c r="M116" s="186"/>
      <x:c r="N116" s="186"/>
      <x:c r="O116" s="186"/>
      <x:c r="P116" s="186"/>
      <x:c r="Q116" s="186"/>
      <x:c r="R116" s="186"/>
      <x:c r="S116" s="186"/>
      <x:c r="T116" s="186"/>
      <x:c r="U116" s="186"/>
      <x:c r="V116" s="186"/>
      <x:c r="W116" s="186"/>
      <x:c r="X116" s="186"/>
      <x:c r="Y116" s="186"/>
      <x:c r="Z116" s="186"/>
    </x:row>
    <x:row r="117">
      <x:c r="A117" s="186"/>
      <x:c r="B117" s="186"/>
      <x:c r="C117" s="186"/>
      <x:c r="D117" s="186"/>
      <x:c r="E117" s="186"/>
      <x:c r="F117" s="186"/>
      <x:c r="G117" s="186"/>
      <x:c r="H117" s="186"/>
      <x:c r="I117" s="186"/>
      <x:c r="J117" s="186"/>
      <x:c r="K117" s="186"/>
      <x:c r="L117" s="186"/>
      <x:c r="M117" s="186"/>
      <x:c r="N117" s="186"/>
      <x:c r="O117" s="186"/>
      <x:c r="P117" s="186"/>
      <x:c r="Q117" s="186"/>
      <x:c r="R117" s="186"/>
      <x:c r="S117" s="186"/>
      <x:c r="T117" s="186"/>
      <x:c r="U117" s="186"/>
      <x:c r="V117" s="186"/>
      <x:c r="W117" s="186"/>
      <x:c r="X117" s="186"/>
      <x:c r="Y117" s="186"/>
      <x:c r="Z117" s="186"/>
    </x:row>
    <x:row r="118">
      <x:c r="A118" s="186"/>
      <x:c r="B118" s="186"/>
      <x:c r="C118" s="186"/>
      <x:c r="D118" s="186"/>
      <x:c r="E118" s="186"/>
      <x:c r="F118" s="186"/>
      <x:c r="G118" s="186"/>
      <x:c r="H118" s="186"/>
      <x:c r="I118" s="186"/>
      <x:c r="J118" s="186"/>
      <x:c r="K118" s="186"/>
      <x:c r="L118" s="186"/>
      <x:c r="M118" s="186"/>
      <x:c r="N118" s="186"/>
      <x:c r="O118" s="186"/>
      <x:c r="P118" s="186"/>
      <x:c r="Q118" s="186"/>
      <x:c r="R118" s="186"/>
      <x:c r="S118" s="186"/>
      <x:c r="T118" s="186"/>
      <x:c r="U118" s="186"/>
      <x:c r="V118" s="186"/>
      <x:c r="W118" s="186"/>
      <x:c r="X118" s="186"/>
      <x:c r="Y118" s="186"/>
      <x:c r="Z118" s="186"/>
    </x:row>
    <x:row r="119">
      <x:c r="A119" s="186"/>
      <x:c r="B119" s="186"/>
      <x:c r="C119" s="186"/>
      <x:c r="D119" s="186"/>
      <x:c r="E119" s="186"/>
      <x:c r="F119" s="186"/>
      <x:c r="G119" s="186"/>
      <x:c r="H119" s="186"/>
      <x:c r="I119" s="186"/>
      <x:c r="J119" s="186"/>
      <x:c r="K119" s="186"/>
      <x:c r="L119" s="186"/>
      <x:c r="M119" s="186"/>
      <x:c r="N119" s="186"/>
      <x:c r="O119" s="186"/>
      <x:c r="P119" s="186"/>
      <x:c r="Q119" s="186"/>
      <x:c r="R119" s="186"/>
      <x:c r="S119" s="186"/>
      <x:c r="T119" s="186"/>
      <x:c r="U119" s="186"/>
      <x:c r="V119" s="186"/>
      <x:c r="W119" s="186"/>
      <x:c r="X119" s="186"/>
      <x:c r="Y119" s="186"/>
      <x:c r="Z119" s="186"/>
    </x:row>
    <x:row r="120">
      <x:c r="A120" s="186"/>
      <x:c r="B120" s="186"/>
      <x:c r="C120" s="186"/>
      <x:c r="D120" s="186"/>
      <x:c r="E120" s="186"/>
      <x:c r="F120" s="186"/>
      <x:c r="G120" s="186"/>
      <x:c r="H120" s="186"/>
      <x:c r="I120" s="186"/>
      <x:c r="J120" s="186"/>
      <x:c r="K120" s="186"/>
      <x:c r="L120" s="186"/>
      <x:c r="M120" s="186"/>
      <x:c r="N120" s="186"/>
      <x:c r="O120" s="186"/>
      <x:c r="P120" s="186"/>
      <x:c r="Q120" s="186"/>
      <x:c r="R120" s="186"/>
      <x:c r="S120" s="186"/>
      <x:c r="T120" s="186"/>
      <x:c r="U120" s="186"/>
      <x:c r="V120" s="186"/>
      <x:c r="W120" s="186"/>
      <x:c r="X120" s="186"/>
      <x:c r="Y120" s="186"/>
      <x:c r="Z120" s="186"/>
    </x:row>
    <x:row r="121">
      <x:c r="A121" s="186"/>
      <x:c r="B121" s="186"/>
      <x:c r="C121" s="186"/>
      <x:c r="D121" s="186"/>
      <x:c r="E121" s="186"/>
      <x:c r="F121" s="186"/>
      <x:c r="G121" s="186"/>
      <x:c r="H121" s="186"/>
      <x:c r="I121" s="186"/>
      <x:c r="J121" s="186"/>
      <x:c r="K121" s="186"/>
      <x:c r="L121" s="186"/>
      <x:c r="M121" s="186"/>
      <x:c r="N121" s="186"/>
      <x:c r="O121" s="186"/>
      <x:c r="P121" s="186"/>
      <x:c r="Q121" s="186"/>
      <x:c r="R121" s="186"/>
      <x:c r="S121" s="186"/>
      <x:c r="T121" s="186"/>
      <x:c r="U121" s="186"/>
      <x:c r="V121" s="186"/>
      <x:c r="W121" s="186"/>
      <x:c r="X121" s="186"/>
      <x:c r="Y121" s="186"/>
      <x:c r="Z121" s="186"/>
    </x:row>
    <x:row r="122">
      <x:c r="A122" s="186"/>
      <x:c r="B122" s="186"/>
      <x:c r="C122" s="186"/>
      <x:c r="D122" s="186"/>
      <x:c r="E122" s="186"/>
      <x:c r="F122" s="186"/>
      <x:c r="G122" s="186"/>
      <x:c r="H122" s="186"/>
      <x:c r="I122" s="186"/>
      <x:c r="J122" s="186"/>
      <x:c r="K122" s="186"/>
      <x:c r="L122" s="186"/>
      <x:c r="M122" s="186"/>
      <x:c r="N122" s="186"/>
      <x:c r="O122" s="186"/>
      <x:c r="P122" s="186"/>
      <x:c r="Q122" s="186"/>
      <x:c r="R122" s="186"/>
      <x:c r="S122" s="186"/>
      <x:c r="T122" s="186"/>
      <x:c r="U122" s="186"/>
      <x:c r="V122" s="186"/>
      <x:c r="W122" s="186"/>
      <x:c r="X122" s="186"/>
      <x:c r="Y122" s="186"/>
      <x:c r="Z122" s="186"/>
    </x:row>
    <x:row r="123">
      <x:c r="A123" s="186"/>
      <x:c r="B123" s="186"/>
      <x:c r="C123" s="186"/>
      <x:c r="D123" s="186"/>
      <x:c r="E123" s="186"/>
      <x:c r="F123" s="186"/>
      <x:c r="G123" s="186"/>
      <x:c r="H123" s="186"/>
      <x:c r="I123" s="186"/>
      <x:c r="J123" s="186"/>
      <x:c r="K123" s="186"/>
      <x:c r="L123" s="186"/>
      <x:c r="M123" s="186"/>
      <x:c r="N123" s="186"/>
      <x:c r="O123" s="186"/>
      <x:c r="P123" s="186"/>
      <x:c r="Q123" s="186"/>
      <x:c r="R123" s="186"/>
      <x:c r="S123" s="186"/>
      <x:c r="T123" s="186"/>
      <x:c r="U123" s="186"/>
      <x:c r="V123" s="186"/>
      <x:c r="W123" s="186"/>
      <x:c r="X123" s="186"/>
      <x:c r="Y123" s="186"/>
      <x:c r="Z123" s="186"/>
    </x:row>
    <x:row r="124">
      <x:c r="A124" s="186"/>
      <x:c r="B124" s="186"/>
      <x:c r="C124" s="186"/>
      <x:c r="D124" s="186"/>
      <x:c r="E124" s="186"/>
      <x:c r="F124" s="186"/>
      <x:c r="G124" s="186"/>
      <x:c r="H124" s="186"/>
      <x:c r="I124" s="186"/>
      <x:c r="J124" s="186"/>
      <x:c r="K124" s="186"/>
      <x:c r="L124" s="186"/>
      <x:c r="M124" s="186"/>
      <x:c r="N124" s="186"/>
      <x:c r="O124" s="186"/>
      <x:c r="P124" s="186"/>
      <x:c r="Q124" s="186"/>
      <x:c r="R124" s="186"/>
      <x:c r="S124" s="186"/>
      <x:c r="T124" s="186"/>
      <x:c r="U124" s="186"/>
      <x:c r="V124" s="186"/>
      <x:c r="W124" s="186"/>
      <x:c r="X124" s="186"/>
      <x:c r="Y124" s="186"/>
      <x:c r="Z124" s="186"/>
    </x:row>
    <x:row r="125">
      <x:c r="A125" s="186"/>
      <x:c r="B125" s="186"/>
      <x:c r="C125" s="186"/>
      <x:c r="D125" s="186"/>
      <x:c r="E125" s="186"/>
      <x:c r="F125" s="186"/>
      <x:c r="G125" s="186"/>
      <x:c r="H125" s="186"/>
      <x:c r="I125" s="186"/>
      <x:c r="J125" s="186"/>
      <x:c r="K125" s="186"/>
      <x:c r="L125" s="186"/>
      <x:c r="M125" s="186"/>
      <x:c r="N125" s="186"/>
      <x:c r="O125" s="186"/>
      <x:c r="P125" s="186"/>
      <x:c r="Q125" s="186"/>
      <x:c r="R125" s="186"/>
      <x:c r="S125" s="186"/>
      <x:c r="T125" s="186"/>
      <x:c r="U125" s="186"/>
      <x:c r="V125" s="186"/>
      <x:c r="W125" s="186"/>
      <x:c r="X125" s="186"/>
      <x:c r="Y125" s="186"/>
      <x:c r="Z125" s="186"/>
    </x:row>
    <x:row r="126">
      <x:c r="A126" s="186"/>
      <x:c r="B126" s="186"/>
      <x:c r="C126" s="186"/>
      <x:c r="D126" s="186"/>
      <x:c r="E126" s="186"/>
      <x:c r="F126" s="186"/>
      <x:c r="G126" s="186"/>
      <x:c r="H126" s="186"/>
      <x:c r="I126" s="186"/>
      <x:c r="J126" s="186"/>
      <x:c r="K126" s="186"/>
      <x:c r="L126" s="186"/>
      <x:c r="M126" s="186"/>
      <x:c r="N126" s="186"/>
      <x:c r="O126" s="186"/>
      <x:c r="P126" s="186"/>
      <x:c r="Q126" s="186"/>
      <x:c r="R126" s="186"/>
      <x:c r="S126" s="186"/>
      <x:c r="T126" s="186"/>
      <x:c r="U126" s="186"/>
      <x:c r="V126" s="186"/>
      <x:c r="W126" s="186"/>
      <x:c r="X126" s="186"/>
      <x:c r="Y126" s="186"/>
      <x:c r="Z126" s="186"/>
    </x:row>
    <x:row r="127">
      <x:c r="A127" s="186"/>
      <x:c r="B127" s="186"/>
      <x:c r="C127" s="186"/>
      <x:c r="D127" s="186"/>
      <x:c r="E127" s="186"/>
      <x:c r="F127" s="186"/>
      <x:c r="G127" s="186"/>
      <x:c r="H127" s="186"/>
      <x:c r="I127" s="186"/>
      <x:c r="J127" s="186"/>
      <x:c r="K127" s="186"/>
      <x:c r="L127" s="186"/>
      <x:c r="M127" s="186"/>
      <x:c r="N127" s="186"/>
      <x:c r="O127" s="186"/>
      <x:c r="P127" s="186"/>
      <x:c r="Q127" s="186"/>
      <x:c r="R127" s="186"/>
      <x:c r="S127" s="186"/>
      <x:c r="T127" s="186"/>
      <x:c r="U127" s="186"/>
      <x:c r="V127" s="186"/>
      <x:c r="W127" s="186"/>
      <x:c r="X127" s="186"/>
      <x:c r="Y127" s="186"/>
      <x:c r="Z127" s="186"/>
    </x:row>
    <x:row r="128">
      <x:c r="A128" s="186"/>
      <x:c r="B128" s="186"/>
      <x:c r="C128" s="186"/>
      <x:c r="D128" s="186"/>
      <x:c r="E128" s="186"/>
      <x:c r="F128" s="186"/>
      <x:c r="G128" s="186"/>
      <x:c r="H128" s="186"/>
      <x:c r="I128" s="186"/>
      <x:c r="J128" s="186"/>
      <x:c r="K128" s="186"/>
      <x:c r="L128" s="186"/>
      <x:c r="M128" s="186"/>
      <x:c r="N128" s="186"/>
      <x:c r="O128" s="186"/>
      <x:c r="P128" s="186"/>
      <x:c r="Q128" s="186"/>
      <x:c r="R128" s="186"/>
      <x:c r="S128" s="186"/>
      <x:c r="T128" s="186"/>
      <x:c r="U128" s="186"/>
      <x:c r="V128" s="186"/>
      <x:c r="W128" s="186"/>
      <x:c r="X128" s="186"/>
      <x:c r="Y128" s="186"/>
      <x:c r="Z128" s="186"/>
    </x:row>
    <x:row r="129">
      <x:c r="A129" s="186"/>
      <x:c r="B129" s="186"/>
      <x:c r="C129" s="186"/>
      <x:c r="D129" s="186"/>
      <x:c r="E129" s="186"/>
      <x:c r="F129" s="186"/>
      <x:c r="G129" s="186"/>
      <x:c r="H129" s="186"/>
      <x:c r="I129" s="186"/>
      <x:c r="J129" s="186"/>
      <x:c r="K129" s="186"/>
      <x:c r="L129" s="186"/>
      <x:c r="M129" s="186"/>
      <x:c r="N129" s="186"/>
      <x:c r="O129" s="186"/>
      <x:c r="P129" s="186"/>
      <x:c r="Q129" s="186"/>
      <x:c r="R129" s="186"/>
      <x:c r="S129" s="186"/>
      <x:c r="T129" s="186"/>
      <x:c r="U129" s="186"/>
      <x:c r="V129" s="186"/>
      <x:c r="W129" s="186"/>
      <x:c r="X129" s="186"/>
      <x:c r="Y129" s="186"/>
      <x:c r="Z129" s="186"/>
    </x:row>
    <x:row r="130">
      <x:c r="A130" s="186"/>
      <x:c r="B130" s="186"/>
      <x:c r="C130" s="186"/>
      <x:c r="D130" s="186"/>
      <x:c r="E130" s="186"/>
      <x:c r="F130" s="186"/>
      <x:c r="G130" s="186"/>
      <x:c r="H130" s="186"/>
      <x:c r="I130" s="186"/>
      <x:c r="J130" s="186"/>
      <x:c r="K130" s="186"/>
      <x:c r="L130" s="186"/>
      <x:c r="M130" s="186"/>
      <x:c r="N130" s="186"/>
      <x:c r="O130" s="186"/>
      <x:c r="P130" s="186"/>
      <x:c r="Q130" s="186"/>
      <x:c r="R130" s="186"/>
      <x:c r="S130" s="186"/>
      <x:c r="T130" s="186"/>
      <x:c r="U130" s="186"/>
      <x:c r="V130" s="186"/>
      <x:c r="W130" s="186"/>
      <x:c r="X130" s="186"/>
      <x:c r="Y130" s="186"/>
      <x:c r="Z130" s="186"/>
    </x:row>
    <x:row r="131">
      <x:c r="A131" s="186"/>
      <x:c r="B131" s="186"/>
      <x:c r="C131" s="186"/>
      <x:c r="D131" s="186"/>
      <x:c r="E131" s="186"/>
      <x:c r="F131" s="186"/>
      <x:c r="G131" s="186"/>
      <x:c r="H131" s="186"/>
      <x:c r="I131" s="186"/>
      <x:c r="J131" s="186"/>
      <x:c r="K131" s="186"/>
      <x:c r="L131" s="186"/>
      <x:c r="M131" s="186"/>
      <x:c r="N131" s="186"/>
      <x:c r="O131" s="186"/>
      <x:c r="P131" s="186"/>
      <x:c r="Q131" s="186"/>
      <x:c r="R131" s="186"/>
      <x:c r="S131" s="186"/>
      <x:c r="T131" s="186"/>
      <x:c r="U131" s="186"/>
      <x:c r="V131" s="186"/>
      <x:c r="W131" s="186"/>
      <x:c r="X131" s="186"/>
      <x:c r="Y131" s="186"/>
      <x:c r="Z131" s="186"/>
    </x:row>
    <x:row r="132">
      <x:c r="A132" s="186"/>
      <x:c r="B132" s="186"/>
      <x:c r="C132" s="186"/>
      <x:c r="D132" s="186"/>
      <x:c r="E132" s="186"/>
      <x:c r="F132" s="186"/>
      <x:c r="G132" s="186"/>
      <x:c r="H132" s="186"/>
      <x:c r="I132" s="186"/>
      <x:c r="J132" s="186"/>
      <x:c r="K132" s="186"/>
      <x:c r="L132" s="186"/>
      <x:c r="M132" s="186"/>
      <x:c r="N132" s="186"/>
      <x:c r="O132" s="186"/>
      <x:c r="P132" s="186"/>
      <x:c r="Q132" s="186"/>
      <x:c r="R132" s="186"/>
      <x:c r="S132" s="186"/>
      <x:c r="T132" s="186"/>
      <x:c r="U132" s="186"/>
      <x:c r="V132" s="186"/>
      <x:c r="W132" s="186"/>
      <x:c r="X132" s="186"/>
      <x:c r="Y132" s="186"/>
      <x:c r="Z132" s="186"/>
    </x:row>
    <x:row r="133">
      <x:c r="A133" s="186"/>
      <x:c r="B133" s="186"/>
      <x:c r="C133" s="186"/>
      <x:c r="D133" s="186"/>
      <x:c r="E133" s="186"/>
      <x:c r="F133" s="186"/>
      <x:c r="G133" s="186"/>
      <x:c r="H133" s="186"/>
      <x:c r="I133" s="186"/>
      <x:c r="J133" s="186"/>
      <x:c r="K133" s="186"/>
      <x:c r="L133" s="186"/>
      <x:c r="M133" s="186"/>
      <x:c r="N133" s="186"/>
      <x:c r="O133" s="186"/>
      <x:c r="P133" s="186"/>
      <x:c r="Q133" s="186"/>
      <x:c r="R133" s="186"/>
      <x:c r="S133" s="186"/>
      <x:c r="T133" s="186"/>
      <x:c r="U133" s="186"/>
      <x:c r="V133" s="186"/>
      <x:c r="W133" s="186"/>
      <x:c r="X133" s="186"/>
      <x:c r="Y133" s="186"/>
      <x:c r="Z133" s="186"/>
    </x:row>
    <x:row r="134">
      <x:c r="A134" s="186"/>
      <x:c r="B134" s="186"/>
      <x:c r="C134" s="186"/>
      <x:c r="D134" s="186"/>
      <x:c r="E134" s="186"/>
      <x:c r="F134" s="186"/>
      <x:c r="G134" s="186"/>
      <x:c r="H134" s="186"/>
      <x:c r="I134" s="186"/>
      <x:c r="J134" s="186"/>
      <x:c r="K134" s="186"/>
      <x:c r="L134" s="186"/>
      <x:c r="M134" s="186"/>
      <x:c r="N134" s="186"/>
      <x:c r="O134" s="186"/>
      <x:c r="P134" s="186"/>
      <x:c r="Q134" s="186"/>
      <x:c r="R134" s="186"/>
      <x:c r="S134" s="186"/>
      <x:c r="T134" s="186"/>
      <x:c r="U134" s="186"/>
      <x:c r="V134" s="186"/>
      <x:c r="W134" s="186"/>
      <x:c r="X134" s="186"/>
      <x:c r="Y134" s="186"/>
      <x:c r="Z134" s="186"/>
    </x:row>
    <x:row r="135">
      <x:c r="A135" s="186"/>
      <x:c r="B135" s="186"/>
      <x:c r="C135" s="186"/>
      <x:c r="D135" s="186"/>
      <x:c r="E135" s="186"/>
      <x:c r="F135" s="186"/>
      <x:c r="G135" s="186"/>
      <x:c r="H135" s="186"/>
      <x:c r="I135" s="186"/>
      <x:c r="J135" s="186"/>
      <x:c r="K135" s="186"/>
      <x:c r="L135" s="186"/>
      <x:c r="M135" s="186"/>
      <x:c r="N135" s="186"/>
      <x:c r="O135" s="186"/>
      <x:c r="P135" s="186"/>
      <x:c r="Q135" s="186"/>
      <x:c r="R135" s="186"/>
      <x:c r="S135" s="186"/>
      <x:c r="T135" s="186"/>
      <x:c r="U135" s="186"/>
      <x:c r="V135" s="186"/>
      <x:c r="W135" s="186"/>
      <x:c r="X135" s="186"/>
      <x:c r="Y135" s="186"/>
      <x:c r="Z135" s="186"/>
    </x:row>
    <x:row r="136">
      <x:c r="A136" s="186"/>
      <x:c r="B136" s="186"/>
      <x:c r="C136" s="186"/>
      <x:c r="D136" s="186"/>
      <x:c r="E136" s="186"/>
      <x:c r="F136" s="186"/>
      <x:c r="G136" s="186"/>
      <x:c r="H136" s="186"/>
      <x:c r="I136" s="186"/>
      <x:c r="J136" s="186"/>
      <x:c r="K136" s="186"/>
      <x:c r="L136" s="186"/>
      <x:c r="M136" s="186"/>
      <x:c r="N136" s="186"/>
      <x:c r="O136" s="186"/>
      <x:c r="P136" s="186"/>
      <x:c r="Q136" s="186"/>
      <x:c r="R136" s="186"/>
      <x:c r="S136" s="186"/>
      <x:c r="T136" s="186"/>
      <x:c r="U136" s="186"/>
      <x:c r="V136" s="186"/>
      <x:c r="W136" s="186"/>
      <x:c r="X136" s="186"/>
      <x:c r="Y136" s="186"/>
      <x:c r="Z136" s="186"/>
    </x:row>
    <x:row r="137">
      <x:c r="A137" s="186"/>
      <x:c r="B137" s="186"/>
      <x:c r="C137" s="186"/>
      <x:c r="D137" s="186"/>
      <x:c r="E137" s="186"/>
      <x:c r="F137" s="186"/>
      <x:c r="G137" s="186"/>
      <x:c r="H137" s="186"/>
      <x:c r="I137" s="186"/>
      <x:c r="J137" s="186"/>
      <x:c r="K137" s="186"/>
      <x:c r="L137" s="186"/>
      <x:c r="M137" s="186"/>
      <x:c r="N137" s="186"/>
      <x:c r="O137" s="186"/>
      <x:c r="P137" s="186"/>
      <x:c r="Q137" s="186"/>
      <x:c r="R137" s="186"/>
      <x:c r="S137" s="186"/>
      <x:c r="T137" s="186"/>
      <x:c r="U137" s="186"/>
      <x:c r="V137" s="186"/>
      <x:c r="W137" s="186"/>
      <x:c r="X137" s="186"/>
      <x:c r="Y137" s="186"/>
      <x:c r="Z137" s="186"/>
    </x:row>
    <x:row r="138">
      <x:c r="A138" s="186"/>
      <x:c r="B138" s="186"/>
      <x:c r="C138" s="186"/>
      <x:c r="D138" s="186"/>
      <x:c r="E138" s="186"/>
      <x:c r="F138" s="186"/>
      <x:c r="G138" s="186"/>
      <x:c r="H138" s="186"/>
      <x:c r="I138" s="186"/>
      <x:c r="J138" s="186"/>
      <x:c r="K138" s="186"/>
      <x:c r="L138" s="186"/>
      <x:c r="M138" s="186"/>
      <x:c r="N138" s="186"/>
      <x:c r="O138" s="186"/>
      <x:c r="P138" s="186"/>
      <x:c r="Q138" s="186"/>
      <x:c r="R138" s="186"/>
      <x:c r="S138" s="186"/>
      <x:c r="T138" s="186"/>
      <x:c r="U138" s="186"/>
      <x:c r="V138" s="186"/>
      <x:c r="W138" s="186"/>
      <x:c r="X138" s="186"/>
      <x:c r="Y138" s="186"/>
      <x:c r="Z138" s="186"/>
    </x:row>
    <x:row r="139">
      <x:c r="A139" s="186"/>
      <x:c r="B139" s="186"/>
      <x:c r="C139" s="186"/>
      <x:c r="D139" s="186"/>
      <x:c r="E139" s="186"/>
      <x:c r="F139" s="186"/>
      <x:c r="G139" s="186"/>
      <x:c r="H139" s="186"/>
      <x:c r="I139" s="186"/>
      <x:c r="J139" s="186"/>
      <x:c r="K139" s="186"/>
      <x:c r="L139" s="186"/>
      <x:c r="M139" s="186"/>
      <x:c r="N139" s="186"/>
      <x:c r="O139" s="186"/>
      <x:c r="P139" s="186"/>
      <x:c r="Q139" s="186"/>
      <x:c r="R139" s="186"/>
      <x:c r="S139" s="186"/>
      <x:c r="T139" s="186"/>
      <x:c r="U139" s="186"/>
      <x:c r="V139" s="186"/>
      <x:c r="W139" s="186"/>
      <x:c r="X139" s="186"/>
      <x:c r="Y139" s="186"/>
      <x:c r="Z139" s="186"/>
    </x:row>
    <x:row r="140">
      <x:c r="A140" s="186"/>
      <x:c r="B140" s="186"/>
      <x:c r="C140" s="186"/>
      <x:c r="D140" s="186"/>
      <x:c r="E140" s="186"/>
      <x:c r="F140" s="186"/>
      <x:c r="G140" s="186"/>
      <x:c r="H140" s="186"/>
      <x:c r="I140" s="186"/>
      <x:c r="J140" s="186"/>
      <x:c r="K140" s="186"/>
      <x:c r="L140" s="186"/>
      <x:c r="M140" s="186"/>
      <x:c r="N140" s="186"/>
      <x:c r="O140" s="186"/>
      <x:c r="P140" s="186"/>
      <x:c r="Q140" s="186"/>
      <x:c r="R140" s="186"/>
      <x:c r="S140" s="186"/>
      <x:c r="T140" s="186"/>
      <x:c r="U140" s="186"/>
      <x:c r="V140" s="186"/>
      <x:c r="W140" s="186"/>
      <x:c r="X140" s="186"/>
      <x:c r="Y140" s="186"/>
      <x:c r="Z140" s="186"/>
    </x:row>
    <x:row r="141">
      <x:c r="A141" s="186"/>
      <x:c r="B141" s="186"/>
      <x:c r="C141" s="186"/>
      <x:c r="D141" s="186"/>
      <x:c r="E141" s="186"/>
      <x:c r="F141" s="186"/>
      <x:c r="G141" s="186"/>
      <x:c r="H141" s="186"/>
      <x:c r="I141" s="186"/>
      <x:c r="J141" s="186"/>
      <x:c r="K141" s="186"/>
      <x:c r="L141" s="186"/>
      <x:c r="M141" s="186"/>
      <x:c r="N141" s="186"/>
      <x:c r="O141" s="186"/>
      <x:c r="P141" s="186"/>
      <x:c r="Q141" s="186"/>
      <x:c r="R141" s="186"/>
      <x:c r="S141" s="186"/>
      <x:c r="T141" s="186"/>
      <x:c r="U141" s="186"/>
      <x:c r="V141" s="186"/>
      <x:c r="W141" s="186"/>
      <x:c r="X141" s="186"/>
      <x:c r="Y141" s="186"/>
      <x:c r="Z141" s="186"/>
    </x:row>
    <x:row r="142">
      <x:c r="A142" s="186"/>
      <x:c r="B142" s="186"/>
      <x:c r="C142" s="186"/>
      <x:c r="D142" s="186"/>
      <x:c r="E142" s="186"/>
      <x:c r="F142" s="186"/>
      <x:c r="G142" s="186"/>
      <x:c r="H142" s="186"/>
      <x:c r="I142" s="186"/>
      <x:c r="J142" s="186"/>
      <x:c r="K142" s="186"/>
      <x:c r="L142" s="186"/>
      <x:c r="M142" s="186"/>
      <x:c r="N142" s="186"/>
      <x:c r="O142" s="186"/>
      <x:c r="P142" s="186"/>
      <x:c r="Q142" s="186"/>
      <x:c r="R142" s="186"/>
      <x:c r="S142" s="186"/>
      <x:c r="T142" s="186"/>
      <x:c r="U142" s="186"/>
      <x:c r="V142" s="186"/>
      <x:c r="W142" s="186"/>
      <x:c r="X142" s="186"/>
      <x:c r="Y142" s="186"/>
      <x:c r="Z142" s="186"/>
    </x:row>
    <x:row r="143">
      <x:c r="A143" s="186"/>
      <x:c r="B143" s="186"/>
      <x:c r="C143" s="186"/>
      <x:c r="D143" s="186"/>
      <x:c r="E143" s="186"/>
      <x:c r="F143" s="186"/>
      <x:c r="G143" s="186"/>
      <x:c r="H143" s="186"/>
      <x:c r="I143" s="186"/>
      <x:c r="J143" s="186"/>
      <x:c r="K143" s="186"/>
      <x:c r="L143" s="186"/>
      <x:c r="M143" s="186"/>
      <x:c r="N143" s="186"/>
      <x:c r="O143" s="186"/>
      <x:c r="P143" s="186"/>
      <x:c r="Q143" s="186"/>
      <x:c r="R143" s="186"/>
      <x:c r="S143" s="186"/>
      <x:c r="T143" s="186"/>
      <x:c r="U143" s="186"/>
      <x:c r="V143" s="186"/>
      <x:c r="W143" s="186"/>
      <x:c r="X143" s="186"/>
      <x:c r="Y143" s="186"/>
      <x:c r="Z143" s="186"/>
    </x:row>
    <x:row r="144">
      <x:c r="A144" s="186"/>
      <x:c r="B144" s="186"/>
      <x:c r="C144" s="186"/>
      <x:c r="D144" s="186"/>
      <x:c r="E144" s="186"/>
      <x:c r="F144" s="186"/>
      <x:c r="G144" s="186"/>
      <x:c r="H144" s="186"/>
      <x:c r="I144" s="186"/>
      <x:c r="J144" s="186"/>
      <x:c r="K144" s="186"/>
      <x:c r="L144" s="186"/>
      <x:c r="M144" s="186"/>
      <x:c r="N144" s="186"/>
      <x:c r="O144" s="186"/>
      <x:c r="P144" s="186"/>
      <x:c r="Q144" s="186"/>
      <x:c r="R144" s="186"/>
      <x:c r="S144" s="186"/>
      <x:c r="T144" s="186"/>
      <x:c r="U144" s="186"/>
      <x:c r="V144" s="186"/>
      <x:c r="W144" s="186"/>
      <x:c r="X144" s="186"/>
      <x:c r="Y144" s="186"/>
      <x:c r="Z144" s="186"/>
    </x:row>
    <x:row r="145">
      <x:c r="A145" s="186"/>
      <x:c r="B145" s="186"/>
      <x:c r="C145" s="186"/>
      <x:c r="D145" s="186"/>
      <x:c r="E145" s="186"/>
      <x:c r="F145" s="186"/>
      <x:c r="G145" s="186"/>
      <x:c r="H145" s="186"/>
      <x:c r="I145" s="186"/>
      <x:c r="J145" s="186"/>
      <x:c r="K145" s="186"/>
      <x:c r="L145" s="186"/>
      <x:c r="M145" s="186"/>
      <x:c r="N145" s="186"/>
      <x:c r="O145" s="186"/>
      <x:c r="P145" s="186"/>
      <x:c r="Q145" s="186"/>
      <x:c r="R145" s="186"/>
      <x:c r="S145" s="186"/>
      <x:c r="T145" s="186"/>
      <x:c r="U145" s="186"/>
      <x:c r="V145" s="186"/>
      <x:c r="W145" s="186"/>
      <x:c r="X145" s="186"/>
      <x:c r="Y145" s="186"/>
      <x:c r="Z145" s="186"/>
    </x:row>
    <x:row r="146">
      <x:c r="A146" s="186"/>
      <x:c r="B146" s="186"/>
      <x:c r="C146" s="186"/>
      <x:c r="D146" s="186"/>
      <x:c r="E146" s="186"/>
      <x:c r="F146" s="186"/>
      <x:c r="G146" s="186"/>
      <x:c r="H146" s="186"/>
      <x:c r="I146" s="186"/>
      <x:c r="J146" s="186"/>
      <x:c r="K146" s="186"/>
      <x:c r="L146" s="186"/>
      <x:c r="M146" s="186"/>
      <x:c r="N146" s="186"/>
      <x:c r="O146" s="186"/>
      <x:c r="P146" s="186"/>
      <x:c r="Q146" s="186"/>
      <x:c r="R146" s="186"/>
      <x:c r="S146" s="186"/>
      <x:c r="T146" s="186"/>
      <x:c r="U146" s="186"/>
      <x:c r="V146" s="186"/>
      <x:c r="W146" s="186"/>
      <x:c r="X146" s="186"/>
      <x:c r="Y146" s="186"/>
      <x:c r="Z146" s="186"/>
    </x:row>
    <x:row r="147">
      <x:c r="A147" s="186"/>
      <x:c r="B147" s="186"/>
      <x:c r="C147" s="186"/>
      <x:c r="D147" s="186"/>
      <x:c r="E147" s="186"/>
      <x:c r="F147" s="186"/>
      <x:c r="G147" s="186"/>
      <x:c r="H147" s="186"/>
      <x:c r="I147" s="186"/>
      <x:c r="J147" s="186"/>
      <x:c r="K147" s="186"/>
      <x:c r="L147" s="186"/>
      <x:c r="M147" s="186"/>
      <x:c r="N147" s="186"/>
      <x:c r="O147" s="186"/>
      <x:c r="P147" s="186"/>
      <x:c r="Q147" s="186"/>
      <x:c r="R147" s="186"/>
      <x:c r="S147" s="186"/>
      <x:c r="T147" s="186"/>
      <x:c r="U147" s="186"/>
      <x:c r="V147" s="186"/>
      <x:c r="W147" s="186"/>
      <x:c r="X147" s="186"/>
      <x:c r="Y147" s="186"/>
      <x:c r="Z147" s="186"/>
    </x:row>
    <x:row r="148">
      <x:c r="A148" s="186"/>
      <x:c r="B148" s="186"/>
      <x:c r="C148" s="186"/>
      <x:c r="D148" s="186"/>
      <x:c r="E148" s="186"/>
      <x:c r="F148" s="186"/>
      <x:c r="G148" s="186"/>
      <x:c r="H148" s="186"/>
      <x:c r="I148" s="186"/>
      <x:c r="J148" s="186"/>
      <x:c r="K148" s="186"/>
      <x:c r="L148" s="186"/>
      <x:c r="M148" s="186"/>
      <x:c r="N148" s="186"/>
      <x:c r="O148" s="186"/>
      <x:c r="P148" s="186"/>
      <x:c r="Q148" s="186"/>
      <x:c r="R148" s="186"/>
      <x:c r="S148" s="186"/>
      <x:c r="T148" s="186"/>
      <x:c r="U148" s="186"/>
      <x:c r="V148" s="186"/>
      <x:c r="W148" s="186"/>
      <x:c r="X148" s="186"/>
      <x:c r="Y148" s="186"/>
      <x:c r="Z148" s="186"/>
    </x:row>
    <x:row r="149">
      <x:c r="A149" s="186"/>
      <x:c r="B149" s="186"/>
      <x:c r="C149" s="186"/>
      <x:c r="D149" s="186"/>
      <x:c r="E149" s="186"/>
      <x:c r="F149" s="186"/>
      <x:c r="G149" s="186"/>
      <x:c r="H149" s="186"/>
      <x:c r="I149" s="186"/>
      <x:c r="J149" s="186"/>
      <x:c r="K149" s="186"/>
      <x:c r="L149" s="186"/>
      <x:c r="M149" s="186"/>
      <x:c r="N149" s="186"/>
      <x:c r="O149" s="186"/>
      <x:c r="P149" s="186"/>
      <x:c r="Q149" s="186"/>
      <x:c r="R149" s="186"/>
      <x:c r="S149" s="186"/>
      <x:c r="T149" s="186"/>
      <x:c r="U149" s="186"/>
      <x:c r="V149" s="186"/>
      <x:c r="W149" s="186"/>
      <x:c r="X149" s="186"/>
      <x:c r="Y149" s="186"/>
      <x:c r="Z149" s="186"/>
    </x:row>
    <x:row r="150">
      <x:c r="A150" s="186"/>
      <x:c r="B150" s="186"/>
      <x:c r="C150" s="186"/>
      <x:c r="D150" s="186"/>
      <x:c r="E150" s="186"/>
      <x:c r="F150" s="186"/>
      <x:c r="G150" s="186"/>
      <x:c r="H150" s="186"/>
      <x:c r="I150" s="186"/>
      <x:c r="J150" s="186"/>
      <x:c r="K150" s="186"/>
      <x:c r="L150" s="186"/>
      <x:c r="M150" s="186"/>
      <x:c r="N150" s="186"/>
      <x:c r="O150" s="186"/>
      <x:c r="P150" s="186"/>
      <x:c r="Q150" s="186"/>
      <x:c r="R150" s="186"/>
      <x:c r="S150" s="186"/>
      <x:c r="T150" s="186"/>
      <x:c r="U150" s="186"/>
      <x:c r="V150" s="186"/>
      <x:c r="W150" s="186"/>
      <x:c r="X150" s="186"/>
      <x:c r="Y150" s="186"/>
      <x:c r="Z150" s="186"/>
    </x:row>
    <x:row r="151">
      <x:c r="A151" s="186"/>
      <x:c r="B151" s="186"/>
      <x:c r="C151" s="186"/>
      <x:c r="D151" s="186"/>
      <x:c r="E151" s="186"/>
      <x:c r="F151" s="186"/>
      <x:c r="G151" s="186"/>
      <x:c r="H151" s="186"/>
      <x:c r="I151" s="186"/>
      <x:c r="J151" s="186"/>
      <x:c r="K151" s="186"/>
      <x:c r="L151" s="186"/>
      <x:c r="M151" s="186"/>
      <x:c r="N151" s="186"/>
      <x:c r="O151" s="186"/>
      <x:c r="P151" s="186"/>
      <x:c r="Q151" s="186"/>
      <x:c r="R151" s="186"/>
      <x:c r="S151" s="186"/>
      <x:c r="T151" s="186"/>
      <x:c r="U151" s="186"/>
      <x:c r="V151" s="186"/>
      <x:c r="W151" s="186"/>
      <x:c r="X151" s="186"/>
      <x:c r="Y151" s="186"/>
      <x:c r="Z151" s="186"/>
    </x:row>
    <x:row r="152">
      <x:c r="A152" s="186"/>
      <x:c r="B152" s="186"/>
      <x:c r="C152" s="186"/>
      <x:c r="D152" s="186"/>
      <x:c r="E152" s="186"/>
      <x:c r="F152" s="186"/>
      <x:c r="G152" s="186"/>
      <x:c r="H152" s="186"/>
      <x:c r="I152" s="186"/>
      <x:c r="J152" s="186"/>
      <x:c r="K152" s="186"/>
      <x:c r="L152" s="186"/>
      <x:c r="M152" s="186"/>
      <x:c r="N152" s="186"/>
      <x:c r="O152" s="186"/>
      <x:c r="P152" s="186"/>
      <x:c r="Q152" s="186"/>
      <x:c r="R152" s="186"/>
      <x:c r="S152" s="186"/>
      <x:c r="T152" s="186"/>
      <x:c r="U152" s="186"/>
      <x:c r="V152" s="186"/>
      <x:c r="W152" s="186"/>
      <x:c r="X152" s="186"/>
      <x:c r="Y152" s="186"/>
      <x:c r="Z152" s="186"/>
    </x:row>
    <x:row r="153">
      <x:c r="A153" s="186"/>
      <x:c r="B153" s="186"/>
      <x:c r="C153" s="186"/>
      <x:c r="D153" s="186"/>
      <x:c r="E153" s="186"/>
      <x:c r="F153" s="186"/>
      <x:c r="G153" s="186"/>
      <x:c r="H153" s="186"/>
      <x:c r="I153" s="186"/>
      <x:c r="J153" s="186"/>
      <x:c r="K153" s="186"/>
      <x:c r="L153" s="186"/>
      <x:c r="M153" s="186"/>
      <x:c r="N153" s="186"/>
      <x:c r="O153" s="186"/>
      <x:c r="P153" s="186"/>
      <x:c r="Q153" s="186"/>
      <x:c r="R153" s="186"/>
      <x:c r="S153" s="186"/>
      <x:c r="T153" s="186"/>
      <x:c r="U153" s="186"/>
      <x:c r="V153" s="186"/>
      <x:c r="W153" s="186"/>
      <x:c r="X153" s="186"/>
      <x:c r="Y153" s="186"/>
      <x:c r="Z153" s="186"/>
    </x:row>
    <x:row r="154">
      <x:c r="A154" s="186"/>
      <x:c r="B154" s="186"/>
      <x:c r="C154" s="186"/>
      <x:c r="D154" s="186"/>
      <x:c r="E154" s="186"/>
      <x:c r="F154" s="186"/>
      <x:c r="G154" s="186"/>
      <x:c r="H154" s="186"/>
      <x:c r="I154" s="186"/>
      <x:c r="J154" s="186"/>
      <x:c r="K154" s="186"/>
      <x:c r="L154" s="186"/>
      <x:c r="M154" s="186"/>
      <x:c r="N154" s="186"/>
      <x:c r="O154" s="186"/>
      <x:c r="P154" s="186"/>
      <x:c r="Q154" s="186"/>
      <x:c r="R154" s="186"/>
      <x:c r="S154" s="186"/>
      <x:c r="T154" s="186"/>
      <x:c r="U154" s="186"/>
      <x:c r="V154" s="186"/>
      <x:c r="W154" s="186"/>
      <x:c r="X154" s="186"/>
      <x:c r="Y154" s="186"/>
      <x:c r="Z154" s="186"/>
    </x:row>
    <x:row r="155">
      <x:c r="A155" s="186"/>
      <x:c r="B155" s="186"/>
      <x:c r="C155" s="186"/>
      <x:c r="D155" s="186"/>
      <x:c r="E155" s="186"/>
      <x:c r="F155" s="186"/>
      <x:c r="G155" s="186"/>
      <x:c r="H155" s="186"/>
      <x:c r="I155" s="186"/>
      <x:c r="J155" s="186"/>
      <x:c r="K155" s="186"/>
      <x:c r="L155" s="186"/>
      <x:c r="M155" s="186"/>
      <x:c r="N155" s="186"/>
      <x:c r="O155" s="186"/>
      <x:c r="P155" s="186"/>
      <x:c r="Q155" s="186"/>
      <x:c r="R155" s="186"/>
      <x:c r="S155" s="186"/>
      <x:c r="T155" s="186"/>
      <x:c r="U155" s="186"/>
      <x:c r="V155" s="186"/>
      <x:c r="W155" s="186"/>
      <x:c r="X155" s="186"/>
      <x:c r="Y155" s="186"/>
      <x:c r="Z155" s="186"/>
    </x:row>
    <x:row r="156">
      <x:c r="A156" s="186"/>
      <x:c r="B156" s="186"/>
      <x:c r="C156" s="186"/>
      <x:c r="D156" s="186"/>
      <x:c r="E156" s="186"/>
      <x:c r="F156" s="186"/>
      <x:c r="G156" s="186"/>
      <x:c r="H156" s="186"/>
      <x:c r="I156" s="186"/>
      <x:c r="J156" s="186"/>
      <x:c r="K156" s="186"/>
      <x:c r="L156" s="186"/>
      <x:c r="M156" s="186"/>
      <x:c r="N156" s="186"/>
      <x:c r="O156" s="186"/>
      <x:c r="P156" s="186"/>
      <x:c r="Q156" s="186"/>
      <x:c r="R156" s="186"/>
      <x:c r="S156" s="186"/>
      <x:c r="T156" s="186"/>
      <x:c r="U156" s="186"/>
      <x:c r="V156" s="186"/>
      <x:c r="W156" s="186"/>
      <x:c r="X156" s="186"/>
      <x:c r="Y156" s="186"/>
      <x:c r="Z156" s="186"/>
    </x:row>
    <x:row r="157">
      <x:c r="A157" s="186"/>
      <x:c r="B157" s="186"/>
      <x:c r="C157" s="186"/>
      <x:c r="D157" s="186"/>
      <x:c r="E157" s="186"/>
      <x:c r="F157" s="186"/>
      <x:c r="G157" s="186"/>
      <x:c r="H157" s="186"/>
      <x:c r="I157" s="186"/>
      <x:c r="J157" s="186"/>
      <x:c r="K157" s="186"/>
      <x:c r="L157" s="186"/>
      <x:c r="M157" s="186"/>
      <x:c r="N157" s="186"/>
      <x:c r="O157" s="186"/>
      <x:c r="P157" s="186"/>
      <x:c r="Q157" s="186"/>
      <x:c r="R157" s="186"/>
      <x:c r="S157" s="186"/>
      <x:c r="T157" s="186"/>
      <x:c r="U157" s="186"/>
      <x:c r="V157" s="186"/>
      <x:c r="W157" s="186"/>
      <x:c r="X157" s="186"/>
      <x:c r="Y157" s="186"/>
      <x:c r="Z157" s="186"/>
    </x:row>
    <x:row r="158">
      <x:c r="A158" s="186"/>
      <x:c r="B158" s="186"/>
      <x:c r="C158" s="186"/>
      <x:c r="D158" s="186"/>
      <x:c r="E158" s="186"/>
      <x:c r="F158" s="186"/>
      <x:c r="G158" s="186"/>
      <x:c r="H158" s="186"/>
      <x:c r="I158" s="186"/>
      <x:c r="J158" s="186"/>
      <x:c r="K158" s="186"/>
      <x:c r="L158" s="186"/>
      <x:c r="M158" s="186"/>
      <x:c r="N158" s="186"/>
      <x:c r="O158" s="186"/>
      <x:c r="P158" s="186"/>
      <x:c r="Q158" s="186"/>
      <x:c r="R158" s="186"/>
      <x:c r="S158" s="186"/>
      <x:c r="T158" s="186"/>
      <x:c r="U158" s="186"/>
      <x:c r="V158" s="186"/>
      <x:c r="W158" s="186"/>
      <x:c r="X158" s="186"/>
      <x:c r="Y158" s="186"/>
      <x:c r="Z158" s="186"/>
    </x:row>
    <x:row r="159">
      <x:c r="A159" s="186"/>
      <x:c r="B159" s="186"/>
      <x:c r="C159" s="186"/>
      <x:c r="D159" s="186"/>
      <x:c r="E159" s="186"/>
      <x:c r="F159" s="186"/>
      <x:c r="G159" s="186"/>
      <x:c r="H159" s="186"/>
      <x:c r="I159" s="186"/>
      <x:c r="J159" s="186"/>
      <x:c r="K159" s="186"/>
      <x:c r="L159" s="186"/>
      <x:c r="M159" s="186"/>
      <x:c r="N159" s="186"/>
      <x:c r="O159" s="186"/>
      <x:c r="P159" s="186"/>
      <x:c r="Q159" s="186"/>
      <x:c r="R159" s="186"/>
      <x:c r="S159" s="186"/>
      <x:c r="T159" s="186"/>
      <x:c r="U159" s="186"/>
      <x:c r="V159" s="186"/>
      <x:c r="W159" s="186"/>
      <x:c r="X159" s="186"/>
      <x:c r="Y159" s="186"/>
      <x:c r="Z159" s="186"/>
    </x:row>
    <x:row r="160">
      <x:c r="A160" s="186"/>
      <x:c r="B160" s="186"/>
      <x:c r="C160" s="186"/>
      <x:c r="D160" s="186"/>
      <x:c r="E160" s="186"/>
      <x:c r="F160" s="186"/>
      <x:c r="G160" s="186"/>
      <x:c r="H160" s="186"/>
      <x:c r="I160" s="186"/>
      <x:c r="J160" s="186"/>
      <x:c r="K160" s="186"/>
      <x:c r="L160" s="186"/>
      <x:c r="M160" s="186"/>
      <x:c r="N160" s="186"/>
      <x:c r="O160" s="186"/>
      <x:c r="P160" s="186"/>
      <x:c r="Q160" s="186"/>
      <x:c r="R160" s="186"/>
      <x:c r="S160" s="186"/>
      <x:c r="T160" s="186"/>
      <x:c r="U160" s="186"/>
      <x:c r="V160" s="186"/>
      <x:c r="W160" s="186"/>
      <x:c r="X160" s="186"/>
      <x:c r="Y160" s="186"/>
      <x:c r="Z160" s="186"/>
    </x:row>
    <x:row r="161">
      <x:c r="A161" s="186"/>
      <x:c r="B161" s="186"/>
      <x:c r="C161" s="186"/>
      <x:c r="D161" s="186"/>
      <x:c r="E161" s="186"/>
      <x:c r="F161" s="186"/>
      <x:c r="G161" s="186"/>
      <x:c r="H161" s="186"/>
      <x:c r="I161" s="186"/>
      <x:c r="J161" s="186"/>
      <x:c r="K161" s="186"/>
      <x:c r="L161" s="186"/>
      <x:c r="M161" s="186"/>
      <x:c r="N161" s="186"/>
      <x:c r="O161" s="186"/>
      <x:c r="P161" s="186"/>
      <x:c r="Q161" s="186"/>
      <x:c r="R161" s="186"/>
      <x:c r="S161" s="186"/>
      <x:c r="T161" s="186"/>
      <x:c r="U161" s="186"/>
      <x:c r="V161" s="186"/>
      <x:c r="W161" s="186"/>
      <x:c r="X161" s="186"/>
      <x:c r="Y161" s="186"/>
      <x:c r="Z161" s="186"/>
    </x:row>
    <x:row r="162">
      <x:c r="A162" s="186"/>
      <x:c r="B162" s="186"/>
      <x:c r="C162" s="186"/>
      <x:c r="D162" s="186"/>
      <x:c r="E162" s="186"/>
      <x:c r="F162" s="186"/>
      <x:c r="G162" s="186"/>
      <x:c r="H162" s="186"/>
      <x:c r="I162" s="186"/>
      <x:c r="J162" s="186"/>
      <x:c r="K162" s="186"/>
      <x:c r="L162" s="186"/>
      <x:c r="M162" s="186"/>
      <x:c r="N162" s="186"/>
      <x:c r="O162" s="186"/>
      <x:c r="P162" s="186"/>
      <x:c r="Q162" s="186"/>
      <x:c r="R162" s="186"/>
      <x:c r="S162" s="186"/>
      <x:c r="T162" s="186"/>
      <x:c r="U162" s="186"/>
      <x:c r="V162" s="186"/>
      <x:c r="W162" s="186"/>
      <x:c r="X162" s="186"/>
      <x:c r="Y162" s="186"/>
      <x:c r="Z162" s="186"/>
    </x:row>
    <x:row r="163">
      <x:c r="A163" s="186"/>
      <x:c r="B163" s="186"/>
      <x:c r="C163" s="186"/>
      <x:c r="D163" s="186"/>
      <x:c r="E163" s="186"/>
      <x:c r="F163" s="186"/>
      <x:c r="G163" s="186"/>
      <x:c r="H163" s="186"/>
      <x:c r="I163" s="186"/>
      <x:c r="J163" s="186"/>
      <x:c r="K163" s="186"/>
      <x:c r="L163" s="186"/>
      <x:c r="M163" s="186"/>
      <x:c r="N163" s="186"/>
      <x:c r="O163" s="186"/>
      <x:c r="P163" s="186"/>
      <x:c r="Q163" s="186"/>
      <x:c r="R163" s="186"/>
      <x:c r="S163" s="186"/>
      <x:c r="T163" s="186"/>
      <x:c r="U163" s="186"/>
      <x:c r="V163" s="186"/>
      <x:c r="W163" s="186"/>
      <x:c r="X163" s="186"/>
      <x:c r="Y163" s="186"/>
      <x:c r="Z163" s="186"/>
    </x:row>
    <x:row r="164">
      <x:c r="A164" s="186"/>
      <x:c r="B164" s="186"/>
      <x:c r="C164" s="186"/>
      <x:c r="D164" s="186"/>
      <x:c r="E164" s="186"/>
      <x:c r="F164" s="186"/>
      <x:c r="G164" s="186"/>
      <x:c r="H164" s="186"/>
      <x:c r="I164" s="186"/>
      <x:c r="J164" s="186"/>
      <x:c r="K164" s="186"/>
      <x:c r="L164" s="186"/>
      <x:c r="M164" s="186"/>
      <x:c r="N164" s="186"/>
      <x:c r="O164" s="186"/>
      <x:c r="P164" s="186"/>
      <x:c r="Q164" s="186"/>
      <x:c r="R164" s="186"/>
      <x:c r="S164" s="186"/>
      <x:c r="T164" s="186"/>
      <x:c r="U164" s="186"/>
      <x:c r="V164" s="186"/>
      <x:c r="W164" s="186"/>
      <x:c r="X164" s="186"/>
      <x:c r="Y164" s="186"/>
      <x:c r="Z164" s="186"/>
    </x:row>
    <x:row r="165">
      <x:c r="A165" s="186"/>
      <x:c r="B165" s="186"/>
      <x:c r="C165" s="186"/>
      <x:c r="D165" s="186"/>
      <x:c r="E165" s="186"/>
      <x:c r="F165" s="186"/>
      <x:c r="G165" s="186"/>
      <x:c r="H165" s="186"/>
      <x:c r="I165" s="186"/>
      <x:c r="J165" s="186"/>
      <x:c r="K165" s="186"/>
      <x:c r="L165" s="186"/>
      <x:c r="M165" s="186"/>
      <x:c r="N165" s="186"/>
      <x:c r="O165" s="186"/>
      <x:c r="P165" s="186"/>
      <x:c r="Q165" s="186"/>
      <x:c r="R165" s="186"/>
      <x:c r="S165" s="186"/>
      <x:c r="T165" s="186"/>
      <x:c r="U165" s="186"/>
      <x:c r="V165" s="186"/>
      <x:c r="W165" s="186"/>
      <x:c r="X165" s="186"/>
      <x:c r="Y165" s="186"/>
      <x:c r="Z165" s="186"/>
    </x:row>
    <x:row r="166">
      <x:c r="A166" s="186"/>
      <x:c r="B166" s="186"/>
      <x:c r="C166" s="186"/>
      <x:c r="D166" s="186"/>
      <x:c r="E166" s="186"/>
      <x:c r="F166" s="186"/>
      <x:c r="G166" s="186"/>
      <x:c r="H166" s="186"/>
      <x:c r="I166" s="186"/>
      <x:c r="J166" s="186"/>
      <x:c r="K166" s="186"/>
      <x:c r="L166" s="186"/>
      <x:c r="M166" s="186"/>
      <x:c r="N166" s="186"/>
      <x:c r="O166" s="186"/>
      <x:c r="P166" s="186"/>
      <x:c r="Q166" s="186"/>
      <x:c r="R166" s="186"/>
      <x:c r="S166" s="186"/>
      <x:c r="T166" s="186"/>
      <x:c r="U166" s="186"/>
      <x:c r="V166" s="186"/>
      <x:c r="W166" s="186"/>
      <x:c r="X166" s="186"/>
      <x:c r="Y166" s="186"/>
      <x:c r="Z166" s="186"/>
    </x:row>
    <x:row r="167">
      <x:c r="A167" s="186"/>
      <x:c r="B167" s="186"/>
      <x:c r="C167" s="186"/>
      <x:c r="D167" s="186"/>
      <x:c r="E167" s="186"/>
      <x:c r="F167" s="186"/>
      <x:c r="G167" s="186"/>
      <x:c r="H167" s="186"/>
      <x:c r="I167" s="186"/>
      <x:c r="J167" s="186"/>
      <x:c r="K167" s="186"/>
      <x:c r="L167" s="186"/>
      <x:c r="M167" s="186"/>
      <x:c r="N167" s="186"/>
      <x:c r="O167" s="186"/>
      <x:c r="P167" s="186"/>
      <x:c r="Q167" s="186"/>
      <x:c r="R167" s="186"/>
      <x:c r="S167" s="186"/>
      <x:c r="T167" s="186"/>
      <x:c r="U167" s="186"/>
      <x:c r="V167" s="186"/>
      <x:c r="W167" s="186"/>
      <x:c r="X167" s="186"/>
      <x:c r="Y167" s="186"/>
      <x:c r="Z167" s="186"/>
    </x:row>
    <x:row r="168">
      <x:c r="A168" s="186"/>
      <x:c r="B168" s="186"/>
      <x:c r="C168" s="186"/>
      <x:c r="D168" s="186"/>
      <x:c r="E168" s="186"/>
      <x:c r="F168" s="186"/>
      <x:c r="G168" s="186"/>
      <x:c r="H168" s="186"/>
      <x:c r="I168" s="186"/>
      <x:c r="J168" s="186"/>
      <x:c r="K168" s="186"/>
      <x:c r="L168" s="186"/>
      <x:c r="M168" s="186"/>
      <x:c r="N168" s="186"/>
      <x:c r="O168" s="186"/>
      <x:c r="P168" s="186"/>
      <x:c r="Q168" s="186"/>
      <x:c r="R168" s="186"/>
      <x:c r="S168" s="186"/>
      <x:c r="T168" s="186"/>
      <x:c r="U168" s="186"/>
      <x:c r="V168" s="186"/>
      <x:c r="W168" s="186"/>
      <x:c r="X168" s="186"/>
      <x:c r="Y168" s="186"/>
      <x:c r="Z168" s="186"/>
    </x:row>
    <x:row r="169">
      <x:c r="A169" s="186"/>
      <x:c r="B169" s="186"/>
      <x:c r="C169" s="186"/>
      <x:c r="D169" s="186"/>
      <x:c r="E169" s="186"/>
      <x:c r="F169" s="186"/>
      <x:c r="G169" s="186"/>
      <x:c r="H169" s="186"/>
      <x:c r="I169" s="186"/>
      <x:c r="J169" s="186"/>
      <x:c r="K169" s="186"/>
      <x:c r="L169" s="186"/>
      <x:c r="M169" s="186"/>
      <x:c r="N169" s="186"/>
      <x:c r="O169" s="186"/>
      <x:c r="P169" s="186"/>
      <x:c r="Q169" s="186"/>
      <x:c r="R169" s="186"/>
      <x:c r="S169" s="186"/>
      <x:c r="T169" s="186"/>
      <x:c r="U169" s="186"/>
      <x:c r="V169" s="186"/>
      <x:c r="W169" s="186"/>
      <x:c r="X169" s="186"/>
      <x:c r="Y169" s="186"/>
      <x:c r="Z169" s="186"/>
    </x:row>
    <x:row r="170">
      <x:c r="A170" s="186"/>
      <x:c r="B170" s="186"/>
      <x:c r="C170" s="186"/>
      <x:c r="D170" s="186"/>
      <x:c r="E170" s="186"/>
      <x:c r="F170" s="186"/>
      <x:c r="G170" s="186"/>
      <x:c r="H170" s="186"/>
      <x:c r="I170" s="186"/>
      <x:c r="J170" s="186"/>
      <x:c r="K170" s="186"/>
      <x:c r="L170" s="186"/>
      <x:c r="M170" s="186"/>
      <x:c r="N170" s="186"/>
      <x:c r="O170" s="186"/>
      <x:c r="P170" s="186"/>
      <x:c r="Q170" s="186"/>
      <x:c r="R170" s="186"/>
      <x:c r="S170" s="186"/>
      <x:c r="T170" s="186"/>
      <x:c r="U170" s="186"/>
      <x:c r="V170" s="186"/>
      <x:c r="W170" s="186"/>
      <x:c r="X170" s="186"/>
      <x:c r="Y170" s="186"/>
      <x:c r="Z170" s="186"/>
    </x:row>
    <x:row r="171">
      <x:c r="A171" s="186"/>
      <x:c r="B171" s="186"/>
      <x:c r="C171" s="186"/>
      <x:c r="D171" s="186"/>
      <x:c r="E171" s="186"/>
      <x:c r="F171" s="186"/>
      <x:c r="G171" s="186"/>
      <x:c r="H171" s="186"/>
      <x:c r="I171" s="186"/>
      <x:c r="J171" s="186"/>
      <x:c r="K171" s="186"/>
      <x:c r="L171" s="186"/>
      <x:c r="M171" s="186"/>
      <x:c r="N171" s="186"/>
      <x:c r="O171" s="186"/>
      <x:c r="P171" s="186"/>
      <x:c r="Q171" s="186"/>
      <x:c r="R171" s="186"/>
      <x:c r="S171" s="186"/>
      <x:c r="T171" s="186"/>
      <x:c r="U171" s="186"/>
      <x:c r="V171" s="186"/>
      <x:c r="W171" s="186"/>
      <x:c r="X171" s="186"/>
      <x:c r="Y171" s="186"/>
      <x:c r="Z171" s="186"/>
    </x:row>
    <x:row r="172">
      <x:c r="A172" s="186"/>
      <x:c r="B172" s="186"/>
      <x:c r="C172" s="186"/>
      <x:c r="D172" s="186"/>
      <x:c r="E172" s="186"/>
      <x:c r="F172" s="186"/>
      <x:c r="G172" s="186"/>
      <x:c r="H172" s="186"/>
      <x:c r="I172" s="186"/>
      <x:c r="J172" s="186"/>
      <x:c r="K172" s="186"/>
      <x:c r="L172" s="186"/>
      <x:c r="M172" s="186"/>
      <x:c r="N172" s="186"/>
      <x:c r="O172" s="186"/>
      <x:c r="P172" s="186"/>
      <x:c r="Q172" s="186"/>
      <x:c r="R172" s="186"/>
      <x:c r="S172" s="186"/>
      <x:c r="T172" s="186"/>
      <x:c r="U172" s="186"/>
      <x:c r="V172" s="186"/>
      <x:c r="W172" s="186"/>
      <x:c r="X172" s="186"/>
      <x:c r="Y172" s="186"/>
      <x:c r="Z172" s="186"/>
    </x:row>
    <x:row r="173">
      <x:c r="A173" s="186"/>
      <x:c r="B173" s="186"/>
      <x:c r="C173" s="186"/>
      <x:c r="D173" s="186"/>
      <x:c r="E173" s="186"/>
      <x:c r="F173" s="186"/>
      <x:c r="G173" s="186"/>
      <x:c r="H173" s="186"/>
      <x:c r="I173" s="186"/>
      <x:c r="J173" s="186"/>
      <x:c r="K173" s="186"/>
      <x:c r="L173" s="186"/>
      <x:c r="M173" s="186"/>
      <x:c r="N173" s="186"/>
      <x:c r="O173" s="186"/>
      <x:c r="P173" s="186"/>
      <x:c r="Q173" s="186"/>
      <x:c r="R173" s="186"/>
      <x:c r="S173" s="186"/>
      <x:c r="T173" s="186"/>
      <x:c r="U173" s="186"/>
      <x:c r="V173" s="186"/>
      <x:c r="W173" s="186"/>
      <x:c r="X173" s="186"/>
      <x:c r="Y173" s="186"/>
      <x:c r="Z173" s="186"/>
    </x:row>
    <x:row r="174">
      <x:c r="A174" s="186"/>
      <x:c r="B174" s="186"/>
      <x:c r="C174" s="186"/>
      <x:c r="D174" s="186"/>
      <x:c r="E174" s="186"/>
      <x:c r="F174" s="186"/>
      <x:c r="G174" s="186"/>
      <x:c r="H174" s="186"/>
      <x:c r="I174" s="186"/>
      <x:c r="J174" s="186"/>
      <x:c r="K174" s="186"/>
      <x:c r="L174" s="186"/>
      <x:c r="M174" s="186"/>
      <x:c r="N174" s="186"/>
      <x:c r="O174" s="186"/>
      <x:c r="P174" s="186"/>
      <x:c r="Q174" s="186"/>
      <x:c r="R174" s="186"/>
      <x:c r="S174" s="186"/>
      <x:c r="T174" s="186"/>
      <x:c r="U174" s="186"/>
      <x:c r="V174" s="186"/>
      <x:c r="W174" s="186"/>
      <x:c r="X174" s="186"/>
      <x:c r="Y174" s="186"/>
      <x:c r="Z174" s="186"/>
    </x:row>
    <x:row r="175">
      <x:c r="A175" s="186"/>
      <x:c r="B175" s="186"/>
      <x:c r="C175" s="186"/>
      <x:c r="D175" s="186"/>
      <x:c r="E175" s="186"/>
      <x:c r="F175" s="186"/>
      <x:c r="G175" s="186"/>
      <x:c r="H175" s="186"/>
      <x:c r="I175" s="186"/>
      <x:c r="J175" s="186"/>
      <x:c r="K175" s="186"/>
      <x:c r="L175" s="186"/>
      <x:c r="M175" s="186"/>
      <x:c r="N175" s="186"/>
      <x:c r="O175" s="186"/>
      <x:c r="P175" s="186"/>
      <x:c r="Q175" s="186"/>
      <x:c r="R175" s="186"/>
      <x:c r="S175" s="186"/>
      <x:c r="T175" s="186"/>
      <x:c r="U175" s="186"/>
      <x:c r="V175" s="186"/>
      <x:c r="W175" s="186"/>
      <x:c r="X175" s="186"/>
      <x:c r="Y175" s="186"/>
      <x:c r="Z175" s="186"/>
    </x:row>
    <x:row r="176">
      <x:c r="A176" s="186"/>
      <x:c r="B176" s="186"/>
      <x:c r="C176" s="186"/>
      <x:c r="D176" s="186"/>
      <x:c r="E176" s="186"/>
      <x:c r="F176" s="186"/>
      <x:c r="G176" s="186"/>
      <x:c r="H176" s="186"/>
      <x:c r="I176" s="186"/>
      <x:c r="J176" s="186"/>
      <x:c r="K176" s="186"/>
      <x:c r="L176" s="186"/>
      <x:c r="M176" s="186"/>
      <x:c r="N176" s="186"/>
      <x:c r="O176" s="186"/>
      <x:c r="P176" s="186"/>
      <x:c r="Q176" s="186"/>
      <x:c r="R176" s="186"/>
      <x:c r="S176" s="186"/>
      <x:c r="T176" s="186"/>
      <x:c r="U176" s="186"/>
      <x:c r="V176" s="186"/>
      <x:c r="W176" s="186"/>
      <x:c r="X176" s="186"/>
      <x:c r="Y176" s="186"/>
      <x:c r="Z176" s="186"/>
    </x:row>
    <x:row r="177">
      <x:c r="A177" s="186"/>
      <x:c r="B177" s="186"/>
      <x:c r="C177" s="186"/>
      <x:c r="D177" s="186"/>
      <x:c r="E177" s="186"/>
      <x:c r="F177" s="186"/>
      <x:c r="G177" s="186"/>
      <x:c r="H177" s="186"/>
      <x:c r="I177" s="186"/>
      <x:c r="J177" s="186"/>
      <x:c r="K177" s="186"/>
      <x:c r="L177" s="186"/>
      <x:c r="M177" s="186"/>
      <x:c r="N177" s="186"/>
      <x:c r="O177" s="186"/>
      <x:c r="P177" s="186"/>
      <x:c r="Q177" s="186"/>
      <x:c r="R177" s="186"/>
      <x:c r="S177" s="186"/>
      <x:c r="T177" s="186"/>
      <x:c r="U177" s="186"/>
      <x:c r="V177" s="186"/>
      <x:c r="W177" s="186"/>
      <x:c r="X177" s="186"/>
      <x:c r="Y177" s="186"/>
      <x:c r="Z177" s="186"/>
    </x:row>
    <x:row r="178">
      <x:c r="A178" s="186"/>
      <x:c r="B178" s="186"/>
      <x:c r="C178" s="186"/>
      <x:c r="D178" s="186"/>
      <x:c r="E178" s="186"/>
      <x:c r="F178" s="186"/>
      <x:c r="G178" s="186"/>
      <x:c r="H178" s="186"/>
      <x:c r="I178" s="186"/>
      <x:c r="J178" s="186"/>
      <x:c r="K178" s="186"/>
      <x:c r="L178" s="186"/>
      <x:c r="M178" s="186"/>
      <x:c r="N178" s="186"/>
      <x:c r="O178" s="186"/>
      <x:c r="P178" s="186"/>
      <x:c r="Q178" s="186"/>
      <x:c r="R178" s="186"/>
      <x:c r="S178" s="186"/>
      <x:c r="T178" s="186"/>
      <x:c r="U178" s="186"/>
      <x:c r="V178" s="186"/>
      <x:c r="W178" s="186"/>
      <x:c r="X178" s="186"/>
      <x:c r="Y178" s="186"/>
      <x:c r="Z178" s="186"/>
    </x:row>
    <x:row r="179">
      <x:c r="A179" s="186"/>
      <x:c r="B179" s="186"/>
      <x:c r="C179" s="186"/>
      <x:c r="D179" s="186"/>
      <x:c r="E179" s="186"/>
      <x:c r="F179" s="186"/>
      <x:c r="G179" s="186"/>
      <x:c r="H179" s="186"/>
      <x:c r="I179" s="186"/>
      <x:c r="J179" s="186"/>
      <x:c r="K179" s="186"/>
      <x:c r="L179" s="186"/>
      <x:c r="M179" s="186"/>
      <x:c r="N179" s="186"/>
      <x:c r="O179" s="186"/>
      <x:c r="P179" s="186"/>
      <x:c r="Q179" s="186"/>
      <x:c r="R179" s="186"/>
      <x:c r="S179" s="186"/>
      <x:c r="T179" s="186"/>
      <x:c r="U179" s="186"/>
      <x:c r="V179" s="186"/>
      <x:c r="W179" s="186"/>
      <x:c r="X179" s="186"/>
      <x:c r="Y179" s="186"/>
      <x:c r="Z179" s="186"/>
    </x:row>
    <x:row r="180">
      <x:c r="A180" s="186"/>
      <x:c r="B180" s="186"/>
      <x:c r="C180" s="186"/>
      <x:c r="D180" s="186"/>
      <x:c r="E180" s="186"/>
      <x:c r="F180" s="186"/>
      <x:c r="G180" s="186"/>
      <x:c r="H180" s="186"/>
      <x:c r="I180" s="186"/>
      <x:c r="J180" s="186"/>
      <x:c r="K180" s="186"/>
      <x:c r="L180" s="186"/>
      <x:c r="M180" s="186"/>
      <x:c r="N180" s="186"/>
      <x:c r="O180" s="186"/>
      <x:c r="P180" s="186"/>
      <x:c r="Q180" s="186"/>
      <x:c r="R180" s="186"/>
      <x:c r="S180" s="186"/>
      <x:c r="T180" s="186"/>
      <x:c r="U180" s="186"/>
      <x:c r="V180" s="186"/>
      <x:c r="W180" s="186"/>
      <x:c r="X180" s="186"/>
      <x:c r="Y180" s="186"/>
      <x:c r="Z180" s="186"/>
    </x:row>
    <x:row r="181">
      <x:c r="A181" s="186"/>
      <x:c r="B181" s="186"/>
      <x:c r="C181" s="186"/>
      <x:c r="D181" s="186"/>
      <x:c r="E181" s="186"/>
      <x:c r="F181" s="186"/>
      <x:c r="G181" s="186"/>
      <x:c r="H181" s="186"/>
      <x:c r="I181" s="186"/>
      <x:c r="J181" s="186"/>
      <x:c r="K181" s="186"/>
      <x:c r="L181" s="186"/>
      <x:c r="M181" s="186"/>
      <x:c r="N181" s="186"/>
      <x:c r="O181" s="186"/>
      <x:c r="P181" s="186"/>
      <x:c r="Q181" s="186"/>
      <x:c r="R181" s="186"/>
      <x:c r="S181" s="186"/>
      <x:c r="T181" s="186"/>
      <x:c r="U181" s="186"/>
      <x:c r="V181" s="186"/>
      <x:c r="W181" s="186"/>
      <x:c r="X181" s="186"/>
      <x:c r="Y181" s="186"/>
      <x:c r="Z181" s="186"/>
    </x:row>
    <x:row r="182">
      <x:c r="A182" s="186"/>
      <x:c r="B182" s="186"/>
      <x:c r="C182" s="186"/>
      <x:c r="D182" s="186"/>
      <x:c r="E182" s="186"/>
      <x:c r="F182" s="186"/>
      <x:c r="G182" s="186"/>
      <x:c r="H182" s="186"/>
      <x:c r="I182" s="186"/>
      <x:c r="J182" s="186"/>
      <x:c r="K182" s="186"/>
      <x:c r="L182" s="186"/>
      <x:c r="M182" s="186"/>
      <x:c r="N182" s="186"/>
      <x:c r="O182" s="186"/>
      <x:c r="P182" s="186"/>
      <x:c r="Q182" s="186"/>
      <x:c r="R182" s="186"/>
      <x:c r="S182" s="186"/>
      <x:c r="T182" s="186"/>
      <x:c r="U182" s="186"/>
      <x:c r="V182" s="186"/>
      <x:c r="W182" s="186"/>
      <x:c r="X182" s="186"/>
      <x:c r="Y182" s="186"/>
      <x:c r="Z182" s="186"/>
    </x:row>
    <x:row r="183">
      <x:c r="A183" s="186"/>
      <x:c r="B183" s="186"/>
      <x:c r="C183" s="186"/>
      <x:c r="D183" s="186"/>
      <x:c r="E183" s="186"/>
      <x:c r="F183" s="186"/>
      <x:c r="G183" s="186"/>
      <x:c r="H183" s="186"/>
      <x:c r="I183" s="186"/>
      <x:c r="J183" s="186"/>
      <x:c r="K183" s="186"/>
      <x:c r="L183" s="186"/>
      <x:c r="M183" s="186"/>
      <x:c r="N183" s="186"/>
      <x:c r="O183" s="186"/>
      <x:c r="P183" s="186"/>
      <x:c r="Q183" s="186"/>
      <x:c r="R183" s="186"/>
      <x:c r="S183" s="186"/>
      <x:c r="T183" s="186"/>
      <x:c r="U183" s="186"/>
      <x:c r="V183" s="186"/>
      <x:c r="W183" s="186"/>
      <x:c r="X183" s="186"/>
      <x:c r="Y183" s="186"/>
      <x:c r="Z183" s="186"/>
    </x:row>
    <x:row r="184">
      <x:c r="A184" s="186"/>
      <x:c r="B184" s="186"/>
      <x:c r="C184" s="186"/>
      <x:c r="D184" s="186"/>
      <x:c r="E184" s="186"/>
      <x:c r="F184" s="186"/>
      <x:c r="G184" s="186"/>
      <x:c r="H184" s="186"/>
      <x:c r="I184" s="186"/>
      <x:c r="J184" s="186"/>
      <x:c r="K184" s="186"/>
      <x:c r="L184" s="186"/>
      <x:c r="M184" s="186"/>
      <x:c r="N184" s="186"/>
      <x:c r="O184" s="186"/>
      <x:c r="P184" s="186"/>
      <x:c r="Q184" s="186"/>
      <x:c r="R184" s="186"/>
      <x:c r="S184" s="186"/>
      <x:c r="T184" s="186"/>
      <x:c r="U184" s="186"/>
      <x:c r="V184" s="186"/>
      <x:c r="W184" s="186"/>
      <x:c r="X184" s="186"/>
      <x:c r="Y184" s="186"/>
      <x:c r="Z184" s="186"/>
    </x:row>
    <x:row r="185">
      <x:c r="A185" s="186"/>
      <x:c r="B185" s="186"/>
      <x:c r="C185" s="186"/>
      <x:c r="D185" s="186"/>
      <x:c r="E185" s="186"/>
      <x:c r="F185" s="186"/>
      <x:c r="G185" s="186"/>
      <x:c r="H185" s="186"/>
      <x:c r="I185" s="186"/>
      <x:c r="J185" s="186"/>
      <x:c r="K185" s="186"/>
      <x:c r="L185" s="186"/>
      <x:c r="M185" s="186"/>
      <x:c r="N185" s="186"/>
      <x:c r="O185" s="186"/>
      <x:c r="P185" s="186"/>
      <x:c r="Q185" s="186"/>
      <x:c r="R185" s="186"/>
      <x:c r="S185" s="186"/>
      <x:c r="T185" s="186"/>
      <x:c r="U185" s="186"/>
      <x:c r="V185" s="186"/>
      <x:c r="W185" s="186"/>
      <x:c r="X185" s="186"/>
      <x:c r="Y185" s="186"/>
      <x:c r="Z185" s="186"/>
    </x:row>
    <x:row r="186">
      <x:c r="A186" s="186"/>
      <x:c r="B186" s="186"/>
      <x:c r="C186" s="186"/>
      <x:c r="D186" s="186"/>
      <x:c r="E186" s="186"/>
      <x:c r="F186" s="186"/>
      <x:c r="G186" s="186"/>
      <x:c r="H186" s="186"/>
      <x:c r="I186" s="186"/>
      <x:c r="J186" s="186"/>
      <x:c r="K186" s="186"/>
      <x:c r="L186" s="186"/>
      <x:c r="M186" s="186"/>
      <x:c r="N186" s="186"/>
      <x:c r="O186" s="186"/>
      <x:c r="P186" s="186"/>
      <x:c r="Q186" s="186"/>
      <x:c r="R186" s="186"/>
      <x:c r="S186" s="186"/>
      <x:c r="T186" s="186"/>
      <x:c r="U186" s="186"/>
      <x:c r="V186" s="186"/>
      <x:c r="W186" s="186"/>
      <x:c r="X186" s="186"/>
      <x:c r="Y186" s="186"/>
      <x:c r="Z186" s="186"/>
    </x:row>
    <x:row r="187">
      <x:c r="A187" s="186"/>
      <x:c r="B187" s="186"/>
      <x:c r="C187" s="186"/>
      <x:c r="D187" s="186"/>
      <x:c r="E187" s="186"/>
      <x:c r="F187" s="186"/>
      <x:c r="G187" s="186"/>
      <x:c r="H187" s="186"/>
      <x:c r="I187" s="186"/>
      <x:c r="J187" s="186"/>
      <x:c r="K187" s="186"/>
      <x:c r="L187" s="186"/>
      <x:c r="M187" s="186"/>
      <x:c r="N187" s="186"/>
      <x:c r="O187" s="186"/>
      <x:c r="P187" s="186"/>
      <x:c r="Q187" s="186"/>
      <x:c r="R187" s="186"/>
      <x:c r="S187" s="186"/>
      <x:c r="T187" s="186"/>
      <x:c r="U187" s="186"/>
      <x:c r="V187" s="186"/>
      <x:c r="W187" s="186"/>
      <x:c r="X187" s="186"/>
      <x:c r="Y187" s="186"/>
      <x:c r="Z187" s="186"/>
    </x:row>
    <x:row r="188">
      <x:c r="A188" s="186"/>
      <x:c r="B188" s="186"/>
      <x:c r="C188" s="186"/>
      <x:c r="D188" s="186"/>
      <x:c r="E188" s="186"/>
      <x:c r="F188" s="186"/>
      <x:c r="G188" s="186"/>
      <x:c r="H188" s="186"/>
      <x:c r="I188" s="186"/>
      <x:c r="J188" s="186"/>
      <x:c r="K188" s="186"/>
      <x:c r="L188" s="186"/>
      <x:c r="M188" s="186"/>
      <x:c r="N188" s="186"/>
      <x:c r="O188" s="186"/>
      <x:c r="P188" s="186"/>
      <x:c r="Q188" s="186"/>
      <x:c r="R188" s="186"/>
      <x:c r="S188" s="186"/>
      <x:c r="T188" s="186"/>
      <x:c r="U188" s="186"/>
      <x:c r="V188" s="186"/>
      <x:c r="W188" s="186"/>
      <x:c r="X188" s="186"/>
      <x:c r="Y188" s="186"/>
      <x:c r="Z188" s="186"/>
    </x:row>
    <x:row r="189">
      <x:c r="A189" s="186"/>
      <x:c r="B189" s="186"/>
      <x:c r="C189" s="186"/>
      <x:c r="D189" s="186"/>
      <x:c r="E189" s="186"/>
      <x:c r="F189" s="186"/>
      <x:c r="G189" s="186"/>
      <x:c r="H189" s="186"/>
      <x:c r="I189" s="186"/>
      <x:c r="J189" s="186"/>
      <x:c r="K189" s="186"/>
      <x:c r="L189" s="186"/>
      <x:c r="M189" s="186"/>
      <x:c r="N189" s="186"/>
      <x:c r="O189" s="186"/>
      <x:c r="P189" s="186"/>
      <x:c r="Q189" s="186"/>
      <x:c r="R189" s="186"/>
      <x:c r="S189" s="186"/>
      <x:c r="T189" s="186"/>
      <x:c r="U189" s="186"/>
      <x:c r="V189" s="186"/>
      <x:c r="W189" s="186"/>
      <x:c r="X189" s="186"/>
      <x:c r="Y189" s="186"/>
      <x:c r="Z189" s="186"/>
    </x:row>
    <x:row r="190">
      <x:c r="A190" s="186"/>
      <x:c r="B190" s="186"/>
      <x:c r="C190" s="186"/>
      <x:c r="D190" s="186"/>
      <x:c r="E190" s="186"/>
      <x:c r="F190" s="186"/>
      <x:c r="G190" s="186"/>
      <x:c r="H190" s="186"/>
      <x:c r="I190" s="186"/>
      <x:c r="J190" s="186"/>
      <x:c r="K190" s="186"/>
      <x:c r="L190" s="186"/>
      <x:c r="M190" s="186"/>
      <x:c r="N190" s="186"/>
      <x:c r="O190" s="186"/>
      <x:c r="P190" s="186"/>
      <x:c r="Q190" s="186"/>
      <x:c r="R190" s="186"/>
      <x:c r="S190" s="186"/>
      <x:c r="T190" s="186"/>
      <x:c r="U190" s="186"/>
      <x:c r="V190" s="186"/>
      <x:c r="W190" s="186"/>
      <x:c r="X190" s="186"/>
      <x:c r="Y190" s="186"/>
      <x:c r="Z190" s="186"/>
    </x:row>
    <x:row r="191">
      <x:c r="A191" s="186"/>
      <x:c r="B191" s="186"/>
      <x:c r="C191" s="186"/>
      <x:c r="D191" s="186"/>
      <x:c r="E191" s="186"/>
      <x:c r="F191" s="186"/>
      <x:c r="G191" s="186"/>
      <x:c r="H191" s="186"/>
      <x:c r="I191" s="186"/>
      <x:c r="J191" s="186"/>
      <x:c r="K191" s="186"/>
      <x:c r="L191" s="186"/>
      <x:c r="M191" s="186"/>
      <x:c r="N191" s="186"/>
      <x:c r="O191" s="186"/>
      <x:c r="P191" s="186"/>
      <x:c r="Q191" s="186"/>
      <x:c r="R191" s="186"/>
      <x:c r="S191" s="186"/>
      <x:c r="T191" s="186"/>
      <x:c r="U191" s="186"/>
      <x:c r="V191" s="186"/>
      <x:c r="W191" s="186"/>
      <x:c r="X191" s="186"/>
      <x:c r="Y191" s="186"/>
      <x:c r="Z191" s="186"/>
    </x:row>
    <x:row r="192">
      <x:c r="A192" s="186"/>
      <x:c r="B192" s="186"/>
      <x:c r="C192" s="186"/>
      <x:c r="D192" s="186"/>
      <x:c r="E192" s="186"/>
      <x:c r="F192" s="186"/>
      <x:c r="G192" s="186"/>
      <x:c r="H192" s="186"/>
      <x:c r="I192" s="186"/>
      <x:c r="J192" s="186"/>
      <x:c r="K192" s="186"/>
      <x:c r="L192" s="186"/>
      <x:c r="M192" s="186"/>
      <x:c r="N192" s="186"/>
      <x:c r="O192" s="186"/>
      <x:c r="P192" s="186"/>
      <x:c r="Q192" s="186"/>
      <x:c r="R192" s="186"/>
      <x:c r="S192" s="186"/>
      <x:c r="T192" s="186"/>
      <x:c r="U192" s="186"/>
      <x:c r="V192" s="186"/>
      <x:c r="W192" s="186"/>
      <x:c r="X192" s="186"/>
      <x:c r="Y192" s="186"/>
      <x:c r="Z192" s="186"/>
    </x:row>
    <x:row r="193">
      <x:c r="A193" s="186"/>
      <x:c r="B193" s="186"/>
      <x:c r="C193" s="186"/>
      <x:c r="D193" s="186"/>
      <x:c r="E193" s="186"/>
      <x:c r="F193" s="186"/>
      <x:c r="G193" s="186"/>
      <x:c r="H193" s="186"/>
      <x:c r="I193" s="186"/>
      <x:c r="J193" s="186"/>
      <x:c r="K193" s="186"/>
      <x:c r="L193" s="186"/>
      <x:c r="M193" s="186"/>
      <x:c r="N193" s="186"/>
      <x:c r="O193" s="186"/>
      <x:c r="P193" s="186"/>
      <x:c r="Q193" s="186"/>
      <x:c r="R193" s="186"/>
      <x:c r="S193" s="186"/>
      <x:c r="T193" s="186"/>
      <x:c r="U193" s="186"/>
      <x:c r="V193" s="186"/>
      <x:c r="W193" s="186"/>
      <x:c r="X193" s="186"/>
      <x:c r="Y193" s="186"/>
      <x:c r="Z193" s="186"/>
    </x:row>
    <x:row r="194">
      <x:c r="A194" s="186"/>
      <x:c r="B194" s="186"/>
      <x:c r="C194" s="186"/>
      <x:c r="D194" s="186"/>
      <x:c r="E194" s="186"/>
      <x:c r="F194" s="186"/>
      <x:c r="G194" s="186"/>
      <x:c r="H194" s="186"/>
      <x:c r="I194" s="186"/>
      <x:c r="J194" s="186"/>
      <x:c r="K194" s="186"/>
      <x:c r="L194" s="186"/>
      <x:c r="M194" s="186"/>
      <x:c r="N194" s="186"/>
      <x:c r="O194" s="186"/>
      <x:c r="P194" s="186"/>
      <x:c r="Q194" s="186"/>
      <x:c r="R194" s="186"/>
      <x:c r="S194" s="186"/>
      <x:c r="T194" s="186"/>
      <x:c r="U194" s="186"/>
      <x:c r="V194" s="186"/>
      <x:c r="W194" s="186"/>
      <x:c r="X194" s="186"/>
      <x:c r="Y194" s="186"/>
      <x:c r="Z194" s="186"/>
    </x:row>
    <x:row r="195">
      <x:c r="A195" s="186"/>
      <x:c r="B195" s="186"/>
      <x:c r="C195" s="186"/>
      <x:c r="D195" s="186"/>
      <x:c r="E195" s="186"/>
      <x:c r="F195" s="186"/>
      <x:c r="G195" s="186"/>
      <x:c r="H195" s="186"/>
      <x:c r="I195" s="186"/>
      <x:c r="J195" s="186"/>
      <x:c r="K195" s="186"/>
      <x:c r="L195" s="186"/>
      <x:c r="M195" s="186"/>
      <x:c r="N195" s="186"/>
      <x:c r="O195" s="186"/>
      <x:c r="P195" s="186"/>
      <x:c r="Q195" s="186"/>
      <x:c r="R195" s="186"/>
      <x:c r="S195" s="186"/>
      <x:c r="T195" s="186"/>
      <x:c r="U195" s="186"/>
      <x:c r="V195" s="186"/>
      <x:c r="W195" s="186"/>
      <x:c r="X195" s="186"/>
      <x:c r="Y195" s="186"/>
      <x:c r="Z195" s="186"/>
    </x:row>
    <x:row r="196">
      <x:c r="A196" s="186"/>
      <x:c r="B196" s="186"/>
      <x:c r="C196" s="186"/>
      <x:c r="D196" s="186"/>
      <x:c r="E196" s="186"/>
      <x:c r="F196" s="186"/>
      <x:c r="G196" s="186"/>
      <x:c r="H196" s="186"/>
      <x:c r="I196" s="186"/>
      <x:c r="J196" s="186"/>
      <x:c r="K196" s="186"/>
      <x:c r="L196" s="186"/>
      <x:c r="M196" s="186"/>
      <x:c r="N196" s="186"/>
      <x:c r="O196" s="186"/>
      <x:c r="P196" s="186"/>
      <x:c r="Q196" s="186"/>
      <x:c r="R196" s="186"/>
      <x:c r="S196" s="186"/>
      <x:c r="T196" s="186"/>
      <x:c r="U196" s="186"/>
      <x:c r="V196" s="186"/>
      <x:c r="W196" s="186"/>
      <x:c r="X196" s="186"/>
      <x:c r="Y196" s="186"/>
      <x:c r="Z196" s="186"/>
    </x:row>
    <x:row r="197">
      <x:c r="A197" s="186"/>
      <x:c r="B197" s="186"/>
      <x:c r="C197" s="186"/>
      <x:c r="D197" s="186"/>
      <x:c r="E197" s="186"/>
      <x:c r="F197" s="186"/>
      <x:c r="G197" s="186"/>
      <x:c r="H197" s="186"/>
      <x:c r="I197" s="186"/>
      <x:c r="J197" s="186"/>
      <x:c r="K197" s="186"/>
      <x:c r="L197" s="186"/>
      <x:c r="M197" s="186"/>
      <x:c r="N197" s="186"/>
      <x:c r="O197" s="186"/>
      <x:c r="P197" s="186"/>
      <x:c r="Q197" s="186"/>
      <x:c r="R197" s="186"/>
      <x:c r="S197" s="186"/>
      <x:c r="T197" s="186"/>
      <x:c r="U197" s="186"/>
      <x:c r="V197" s="186"/>
      <x:c r="W197" s="186"/>
      <x:c r="X197" s="186"/>
      <x:c r="Y197" s="186"/>
      <x:c r="Z197" s="186"/>
    </x:row>
    <x:row r="198">
      <x:c r="A198" s="186"/>
      <x:c r="B198" s="186"/>
      <x:c r="C198" s="186"/>
      <x:c r="D198" s="186"/>
      <x:c r="E198" s="186"/>
      <x:c r="F198" s="186"/>
      <x:c r="G198" s="186"/>
      <x:c r="H198" s="186"/>
      <x:c r="I198" s="186"/>
      <x:c r="J198" s="186"/>
      <x:c r="K198" s="186"/>
      <x:c r="L198" s="186"/>
      <x:c r="M198" s="186"/>
      <x:c r="N198" s="186"/>
      <x:c r="O198" s="186"/>
      <x:c r="P198" s="186"/>
      <x:c r="Q198" s="186"/>
      <x:c r="R198" s="186"/>
      <x:c r="S198" s="186"/>
      <x:c r="T198" s="186"/>
      <x:c r="U198" s="186"/>
      <x:c r="V198" s="186"/>
      <x:c r="W198" s="186"/>
      <x:c r="X198" s="186"/>
      <x:c r="Y198" s="186"/>
      <x:c r="Z198" s="186"/>
    </x:row>
    <x:row r="199">
      <x:c r="A199" s="186"/>
      <x:c r="B199" s="186"/>
      <x:c r="C199" s="186"/>
      <x:c r="D199" s="186"/>
      <x:c r="E199" s="186"/>
      <x:c r="F199" s="186"/>
      <x:c r="G199" s="186"/>
      <x:c r="H199" s="186"/>
      <x:c r="I199" s="186"/>
      <x:c r="J199" s="186"/>
      <x:c r="K199" s="186"/>
      <x:c r="L199" s="186"/>
      <x:c r="M199" s="186"/>
      <x:c r="N199" s="186"/>
      <x:c r="O199" s="186"/>
      <x:c r="P199" s="186"/>
      <x:c r="Q199" s="186"/>
      <x:c r="R199" s="186"/>
      <x:c r="S199" s="186"/>
      <x:c r="T199" s="186"/>
      <x:c r="U199" s="186"/>
      <x:c r="V199" s="186"/>
      <x:c r="W199" s="186"/>
      <x:c r="X199" s="186"/>
      <x:c r="Y199" s="186"/>
      <x:c r="Z199" s="186"/>
    </x:row>
    <x:row r="200">
      <x:c r="A200" s="186"/>
      <x:c r="B200" s="186"/>
      <x:c r="C200" s="186"/>
      <x:c r="D200" s="186"/>
      <x:c r="E200" s="186"/>
      <x:c r="F200" s="186"/>
      <x:c r="G200" s="186"/>
      <x:c r="H200" s="186"/>
      <x:c r="I200" s="186"/>
      <x:c r="J200" s="186"/>
      <x:c r="K200" s="186"/>
      <x:c r="L200" s="186"/>
      <x:c r="M200" s="186"/>
      <x:c r="N200" s="186"/>
      <x:c r="O200" s="186"/>
      <x:c r="P200" s="186"/>
      <x:c r="Q200" s="186"/>
      <x:c r="R200" s="186"/>
      <x:c r="S200" s="186"/>
      <x:c r="T200" s="186"/>
      <x:c r="U200" s="186"/>
      <x:c r="V200" s="186"/>
      <x:c r="W200" s="186"/>
      <x:c r="X200" s="186"/>
      <x:c r="Y200" s="186"/>
      <x:c r="Z200" s="186"/>
    </x:row>
  </x:sheetData>
  <x:pageMargins left="0.7" right="0.7" top="0.75" bottom="0.75" header="0.3" footer="0.3"/>
  <x:drawing xmlns:r="http://schemas.openxmlformats.org/officeDocument/2006/relationships" r:id="R3b4de38c87994a7b"/>
  <x:tableParts count="1">
    <x:tablePart xmlns:r="http://schemas.openxmlformats.org/officeDocument/2006/relationships" r:id="R7b4ffec1eceb4fe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202" t="str">
        <x:v>《再读西游》V2.6 原文摘录二次补证看板</x:v>
      </x:c>
    </x:row>
    <x:row r="3">
      <x:c r="A3" s="207" t="str">
        <x:v>指标</x:v>
      </x:c>
      <x:c r="B3" s="207" t="str">
        <x:v>数值</x:v>
      </x:c>
      <x:c r="C3" s="207" t="str">
        <x:v>说明</x:v>
      </x:c>
      <x:c r="D3" s="207" t="str">
        <x:v>专题价值</x:v>
      </x:c>
      <x:c r="E3" s="207" t="str">
        <x:v>下一步</x:v>
      </x:c>
      <x:c r="F3" s="207" t="str">
        <x:v>状态</x:v>
      </x:c>
      <x:c r="G3" s="207" t="str">
        <x:v>来源</x:v>
      </x:c>
      <x:c r="H3" s="207" t="str">
        <x:v>备注</x:v>
      </x:c>
    </x:row>
    <x:row r="4">
      <x:c r="A4" s="27" t="str">
        <x:v>本版新增补证条目</x:v>
      </x:c>
      <x:c r="B4" s="220" t="n">
        <x:v>34</x:v>
      </x:c>
      <x:c r="C4" s="27" t="str">
        <x:v>围绕难20、45—46、53—54、61—64、79—81补证</x:v>
      </x:c>
      <x:c r="D4" s="27" t="str">
        <x:v>直接服务专题写作</x:v>
      </x:c>
      <x:c r="E4" s="27" t="str">
        <x:v>优先写四篇样稿</x:v>
      </x:c>
      <x:c r="F4" s="27" t="str">
        <x:v>完成</x:v>
      </x:c>
      <x:c r="G4" s="27" t="str">
        <x:v>23_二次补证清单</x:v>
      </x:c>
      <x:c r="H4" s="27" t="str">
        <x:v>短摘+定位</x:v>
      </x:c>
    </x:row>
    <x:row r="5">
      <x:c r="A5" s="27" t="str">
        <x:v>覆盖正式难次</x:v>
      </x:c>
      <x:c r="B5" s="220" t="str">
        <x:v>20、45、46、53、54、61-64、79-81</x:v>
      </x:c>
      <x:c r="C5" s="27" t="str">
        <x:v>对应第27、56-58、65-66、74-77、96-99回</x:v>
      </x:c>
      <x:c r="D5" s="27" t="str">
        <x:v>聚焦信任、假权威、极端风险、收官校核</x:v>
      </x:c>
      <x:c r="E5" s="27" t="str">
        <x:v>补充纸本校注页码</x:v>
      </x:c>
      <x:c r="F5" s="27" t="str">
        <x:v>完成</x:v>
      </x:c>
      <x:c r="G5" s="27" t="str">
        <x:v>第99回难簿</x:v>
      </x:c>
      <x:c r="H5" s="27" t="str">
        <x:v>第99回为总校核依据</x:v>
      </x:c>
    </x:row>
    <x:row r="6">
      <x:c r="A6" s="27" t="str">
        <x:v>已同步追加原文摘录表</x:v>
      </x:c>
      <x:c r="B6" s="220" t="n">
        <x:v>34</x:v>
      </x:c>
      <x:c r="C6" s="27" t="str">
        <x:v>追加至11_原文摘录表末尾</x:v>
      </x:c>
      <x:c r="D6" s="27" t="str">
        <x:v>可直接被文章引用</x:v>
      </x:c>
      <x:c r="E6" s="27" t="str">
        <x:v>后续按文章主题二次筛选</x:v>
      </x:c>
      <x:c r="F6" s="27" t="str">
        <x:v>完成</x:v>
      </x:c>
      <x:c r="G6" s="27" t="str">
        <x:v>11_原文摘录表</x:v>
      </x:c>
      <x:c r="H6" s="27" t="str">
        <x:v>V26编号</x:v>
      </x:c>
    </x:row>
    <x:row r="7">
      <x:c r="A7" s="27" t="str">
        <x:v>本版新增索引</x:v>
      </x:c>
      <x:c r="B7" s="220" t="n">
        <x:v>5</x:v>
      </x:c>
      <x:c r="C7" s="27" t="str">
        <x:v>按专题、难次、回目、主题、状态统计</x:v>
      </x:c>
      <x:c r="D7" s="27" t="str">
        <x:v>便于检索与发布</x:v>
      </x:c>
      <x:c r="E7" s="27" t="str">
        <x:v>接入HTML/PWA</x:v>
      </x:c>
      <x:c r="F7" s="27" t="str">
        <x:v>完成</x:v>
      </x:c>
      <x:c r="G7" s="27" t="str">
        <x:v>24_V2.6专题索引</x:v>
      </x:c>
      <x:c r="H7" s="27" t="str">
        <x:v>用于后续图文页</x:v>
      </x:c>
    </x:row>
    <x:row r="8">
      <x:c r="A8" s="27" t="str">
        <x:v>下阶段建议</x:v>
      </x:c>
      <x:c r="B8" s="220" t="str">
        <x:v>V2.7</x:v>
      </x:c>
      <x:c r="C8" s="27" t="str">
        <x:v>先写专题文章十题中的前四题</x:v>
      </x:c>
      <x:c r="D8" s="27" t="str">
        <x:v>从数据资产转成文章资产</x:v>
      </x:c>
      <x:c r="E8" s="27" t="str">
        <x:v>三打白骨精/真假美猴王/小雷音/狮驼岭</x:v>
      </x:c>
      <x:c r="F8" s="27" t="str">
        <x:v>建议</x:v>
      </x:c>
      <x:c r="G8" s="27" t="str">
        <x:v>06_专题观点表</x:v>
      </x:c>
      <x:c r="H8" s="27" t="str">
        <x:v>先短后长</x:v>
      </x:c>
    </x:row>
    <x:row r="10">
      <x:c r="A10" s="212" t="str">
        <x:v>专题组</x:v>
      </x:c>
      <x:c r="B10" s="212" t="str">
        <x:v>新增补证数</x:v>
      </x:c>
      <x:c r="C10" s="212" t="str">
        <x:v>对应正式难次</x:v>
      </x:c>
      <x:c r="D10" s="212" t="str">
        <x:v>写作优先级</x:v>
      </x:c>
    </x:row>
    <x:row r="11">
      <x:c r="A11" s="27" t="str">
        <x:v>三打白骨精/贬退心猿</x:v>
      </x:c>
      <x:c r="B11" s="27" t="n">
        <x:v>6</x:v>
      </x:c>
      <x:c r="C11" s="27" t="str">
        <x:v>20</x:v>
      </x:c>
      <x:c r="D11" s="27" t="str">
        <x:v>★★★★★</x:v>
      </x:c>
    </x:row>
    <x:row r="12">
      <x:c r="A12" s="27" t="str">
        <x:v>再贬心猿/真假美猴王</x:v>
      </x:c>
      <x:c r="B12" s="27" t="n">
        <x:v>6</x:v>
      </x:c>
      <x:c r="C12" s="27" t="str">
        <x:v>45-46</x:v>
      </x:c>
      <x:c r="D12" s="27" t="str">
        <x:v>★★★★★</x:v>
      </x:c>
    </x:row>
    <x:row r="13">
      <x:c r="A13" s="27" t="str">
        <x:v>小雷音寺/诸神遭困</x:v>
      </x:c>
      <x:c r="B13" s="27" t="n">
        <x:v>6</x:v>
      </x:c>
      <x:c r="C13" s="27" t="str">
        <x:v>53-54</x:v>
      </x:c>
      <x:c r="D13" s="27" t="str">
        <x:v>★★★★☆</x:v>
      </x:c>
    </x:row>
    <x:row r="14">
      <x:c r="A14" s="27" t="str">
        <x:v>狮驼岭/请佛收魔</x:v>
      </x:c>
      <x:c r="B14" s="27" t="n">
        <x:v>7</x:v>
      </x:c>
      <x:c r="C14" s="27" t="str">
        <x:v>61-64</x:v>
      </x:c>
      <x:c r="D14" s="27" t="str">
        <x:v>★★★★★</x:v>
      </x:c>
    </x:row>
    <x:row r="15">
      <x:c r="A15" s="27" t="str">
        <x:v>铜台府—凌云渡—老鼋湿经</x:v>
      </x:c>
      <x:c r="B15" s="27" t="n">
        <x:v>9</x:v>
      </x:c>
      <x:c r="C15" s="27" t="str">
        <x:v>79-81</x:v>
      </x:c>
      <x:c r="D15" s="27" t="str">
        <x:v>★★★★☆</x:v>
      </x:c>
    </x:row>
    <x:row r="17">
      <x:c r="A17" s="216" t="str">
        <x:v>使用建议：本版摘录保留“短摘+定位+解释”，正式发表时建议再对照纸本校注本补页码；维基文库URL作为在线可查底本。</x:v>
      </x:c>
    </x:row>
  </x:sheetData>
  <x:mergeCells>
    <x:mergeCell ref="A1:H1"/>
    <x:mergeCell ref="A17:H17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34" hidden="0" customWidth="1"/>
    <x:col min="12" max="12" width="34" hidden="0" customWidth="1"/>
    <x:col min="13" max="13" width="16" hidden="0" customWidth="1"/>
  </x:cols>
  <x:sheetData>
    <x:row r="1">
      <x:c r="A1" s="207" t="str">
        <x:v>补证ID</x:v>
      </x:c>
      <x:c r="B1" s="207" t="str">
        <x:v>难次</x:v>
      </x:c>
      <x:c r="C1" s="207" t="str">
        <x:v>原文难名</x:v>
      </x:c>
      <x:c r="D1" s="207" t="str">
        <x:v>现代释名</x:v>
      </x:c>
      <x:c r="E1" s="207" t="str">
        <x:v>对应回目</x:v>
      </x:c>
      <x:c r="F1" s="207" t="str">
        <x:v>回目标题</x:v>
      </x:c>
      <x:c r="G1" s="207" t="str">
        <x:v>摘录主题</x:v>
      </x:c>
      <x:c r="H1" s="207" t="str">
        <x:v>原文短摘/定位</x:v>
      </x:c>
      <x:c r="I1" s="207" t="str">
        <x:v>证据解释</x:v>
      </x:c>
      <x:c r="J1" s="207" t="str">
        <x:v>主题大类</x:v>
      </x:c>
      <x:c r="K1" s="207" t="str">
        <x:v>可写观点</x:v>
      </x:c>
      <x:c r="L1" s="207" t="str">
        <x:v>来源URL</x:v>
      </x:c>
      <x:c r="M1" s="207" t="str">
        <x:v>校核状态</x:v>
      </x:c>
    </x:row>
    <x:row r="2">
      <x:c r="A2" s="27" t="str">
        <x:v>V26-001</x:v>
      </x:c>
      <x:c r="B2" s="27" t="n">
        <x:v>20</x:v>
      </x:c>
      <x:c r="C2" s="27" t="str">
        <x:v>貶退心猿</x:v>
      </x:c>
      <x:c r="D2" s="27" t="str">
        <x:v>三打白骨精后的第一次逐猴</x:v>
      </x:c>
      <x:c r="E2" s="27" t="str">
        <x:v>第27回</x:v>
      </x:c>
      <x:c r="F2" s="27" t="str">
        <x:v>屍魔三戲唐三藏 聖僧恨逐美猴王</x:v>
      </x:c>
      <x:c r="G2" s="27" t="str">
        <x:v>回目证据</x:v>
      </x:c>
      <x:c r="H2" s="27" t="str">
        <x:v>屍魔三戲；恨逐美猴王</x:v>
      </x:c>
      <x:c r="I2" s="27" t="str">
        <x:v>全回标题即揭示“妖魔三戏—师徒误判—逐出核心能力”的结构。</x:v>
      </x:c>
      <x:c r="J2" s="27" t="str">
        <x:v>信任/误判</x:v>
      </x:c>
      <x:c r="K2" s="27" t="str">
        <x:v>专业判断不能只输给表象与善念。</x:v>
      </x:c>
      <x:c r="L2" s="27" t="str">
        <x:v>https://zh.wikisource.org/wiki/西遊記/第027回</x:v>
      </x:c>
      <x:c r="M2" s="27" t="str">
        <x:v>已补证</x:v>
      </x:c>
    </x:row>
    <x:row r="3">
      <x:c r="A3" s="27" t="str">
        <x:v>V26-002</x:v>
      </x:c>
      <x:c r="B3" s="27" t="n">
        <x:v>20</x:v>
      </x:c>
      <x:c r="C3" s="27" t="str">
        <x:v>貶退心猿</x:v>
      </x:c>
      <x:c r="D3" s="27" t="str">
        <x:v>白骨精化斋僧女相</x:v>
      </x:c>
      <x:c r="E3" s="27" t="str">
        <x:v>第27回</x:v>
      </x:c>
      <x:c r="F3" s="27" t="str">
        <x:v>屍魔三戲唐三藏 聖僧恨逐美猴王</x:v>
      </x:c>
      <x:c r="G3" s="27" t="str">
        <x:v>诱惑证据</x:v>
      </x:c>
      <x:c r="H3" s="27" t="str">
        <x:v>變做個月貌花容的女兒</x:v>
      </x:c>
      <x:c r="I3" s="27" t="str">
        <x:v>白骨精先以“柔性善意”出现，使唐僧与八戒更容易误判。</x:v>
      </x:c>
      <x:c r="J3" s="27" t="str">
        <x:v>欲望/表象</x:v>
      </x:c>
      <x:c r="K3" s="27" t="str">
        <x:v>最危险的风险常以善意、礼貌、供养形态出现。</x:v>
      </x:c>
      <x:c r="L3" s="27" t="str">
        <x:v>https://zh.wikisource.org/wiki/西遊記/第027回</x:v>
      </x:c>
      <x:c r="M3" s="27" t="str">
        <x:v>已补证</x:v>
      </x:c>
    </x:row>
    <x:row r="4">
      <x:c r="A4" s="27" t="str">
        <x:v>V26-003</x:v>
      </x:c>
      <x:c r="B4" s="27" t="n">
        <x:v>20</x:v>
      </x:c>
      <x:c r="C4" s="27" t="str">
        <x:v>貶退心猿</x:v>
      </x:c>
      <x:c r="D4" s="27" t="str">
        <x:v>悟空火眼金睛识假</x:v>
      </x:c>
      <x:c r="E4" s="27" t="str">
        <x:v>第27回</x:v>
      </x:c>
      <x:c r="F4" s="27" t="str">
        <x:v>屍魔三戲唐三藏 聖僧恨逐美猴王</x:v>
      </x:c>
      <x:c r="G4" s="27" t="str">
        <x:v>专业判断</x:v>
      </x:c>
      <x:c r="H4" s="27" t="str">
        <x:v>認得那女子是個妖精</x:v>
      </x:c>
      <x:c r="I4" s="27" t="str">
        <x:v>悟空判断建立在经验与能力上，但缺少被领导者信任的沟通环境。</x:v>
      </x:c>
      <x:c r="J4" s="27" t="str">
        <x:v>专业/信任</x:v>
      </x:c>
      <x:c r="K4" s="27" t="str">
        <x:v>专业正确还要被组织理解，否则会转化为冲突。</x:v>
      </x:c>
      <x:c r="L4" s="27" t="str">
        <x:v>https://zh.wikisource.org/wiki/西遊記/第027回</x:v>
      </x:c>
      <x:c r="M4" s="27" t="str">
        <x:v>已补证</x:v>
      </x:c>
    </x:row>
    <x:row r="5">
      <x:c r="A5" s="27" t="str">
        <x:v>V26-004</x:v>
      </x:c>
      <x:c r="B5" s="27" t="n">
        <x:v>20</x:v>
      </x:c>
      <x:c r="C5" s="27" t="str">
        <x:v>貶退心猿</x:v>
      </x:c>
      <x:c r="D5" s="27" t="str">
        <x:v>八戒内部噪声</x:v>
      </x:c>
      <x:c r="E5" s="27" t="str">
        <x:v>第27回</x:v>
      </x:c>
      <x:c r="F5" s="27" t="str">
        <x:v>屍魔三戲唐三藏 聖僧恨逐美猴王</x:v>
      </x:c>
      <x:c r="G5" s="27" t="str">
        <x:v>内部噪声</x:v>
      </x:c>
      <x:c r="H5" s="27" t="str">
        <x:v>八戒在傍漏八分兒唆嘴</x:v>
      </x:c>
      <x:c r="I5" s="27" t="str">
        <x:v>八戒不是主犯，却通过“旁边话”改变唐僧判断，是典型内部噪声。</x:v>
      </x:c>
      <x:c r="J5" s="27" t="str">
        <x:v>团队/噪声</x:v>
      </x:c>
      <x:c r="K5" s="27" t="str">
        <x:v>组织误判常由非决策者的情绪化暗示放大。</x:v>
      </x:c>
      <x:c r="L5" s="27" t="str">
        <x:v>https://zh.wikisource.org/wiki/西遊記/第027回</x:v>
      </x:c>
      <x:c r="M5" s="27" t="str">
        <x:v>已补证</x:v>
      </x:c>
    </x:row>
    <x:row r="6">
      <x:c r="A6" s="27" t="str">
        <x:v>V26-005</x:v>
      </x:c>
      <x:c r="B6" s="27" t="n">
        <x:v>20</x:v>
      </x:c>
      <x:c r="C6" s="27" t="str">
        <x:v>貶退心猿</x:v>
      </x:c>
      <x:c r="D6" s="27" t="str">
        <x:v>紧箍咒触发</x:v>
      </x:c>
      <x:c r="E6" s="27" t="str">
        <x:v>第27回</x:v>
      </x:c>
      <x:c r="F6" s="27" t="str">
        <x:v>屍魔三戲唐三藏 聖僧恨逐美猴王</x:v>
      </x:c>
      <x:c r="G6" s="27" t="str">
        <x:v>约束证据</x:v>
      </x:c>
      <x:c r="H6" s="27" t="str">
        <x:v>手中捻訣，口裡念咒</x:v>
      </x:c>
      <x:c r="I6" s="27" t="str">
        <x:v>紧箍咒在此不是单纯纪律，而成为误判条件下对专业能力的惩罚。</x:v>
      </x:c>
      <x:c r="J6" s="27" t="str">
        <x:v>纪律/边界</x:v>
      </x:c>
      <x:c r="K6" s="27" t="str">
        <x:v>约束机制若脱离事实校核，会伤害核心能力。</x:v>
      </x:c>
      <x:c r="L6" s="27" t="str">
        <x:v>https://zh.wikisource.org/wiki/西遊記/第027回</x:v>
      </x:c>
      <x:c r="M6" s="27" t="str">
        <x:v>已补证</x:v>
      </x:c>
    </x:row>
    <x:row r="7">
      <x:c r="A7" s="27" t="str">
        <x:v>V26-006</x:v>
      </x:c>
      <x:c r="B7" s="27" t="n">
        <x:v>20</x:v>
      </x:c>
      <x:c r="C7" s="27" t="str">
        <x:v>貶退心猿</x:v>
      </x:c>
      <x:c r="D7" s="27" t="str">
        <x:v>逐猴王</x:v>
      </x:c>
      <x:c r="E7" s="27" t="str">
        <x:v>第27回</x:v>
      </x:c>
      <x:c r="F7" s="27" t="str">
        <x:v>屍魔三戲唐三藏 聖僧恨逐美猴王</x:v>
      </x:c>
      <x:c r="G7" s="27" t="str">
        <x:v>组织后果</x:v>
      </x:c>
      <x:c r="H7" s="27" t="str">
        <x:v>我不要你做徒弟</x:v>
      </x:c>
      <x:c r="I7" s="27" t="str">
        <x:v>唐僧正式解除悟空团队身份，后续风险将证明关键能力离队的代价。</x:v>
      </x:c>
      <x:c r="J7" s="27" t="str">
        <x:v>组织风险</x:v>
      </x:c>
      <x:c r="K7" s="27" t="str">
        <x:v>开除关键人才之前，必须先复核事实与替代能力。</x:v>
      </x:c>
      <x:c r="L7" s="27" t="str">
        <x:v>https://zh.wikisource.org/wiki/西遊記/第027回</x:v>
      </x:c>
      <x:c r="M7" s="27" t="str">
        <x:v>已补证</x:v>
      </x:c>
    </x:row>
    <x:row r="8">
      <x:c r="A8" s="27" t="str">
        <x:v>V26-007</x:v>
      </x:c>
      <x:c r="B8" s="27" t="n">
        <x:v>45</x:v>
      </x:c>
      <x:c r="C8" s="27" t="str">
        <x:v>再貶心猿</x:v>
      </x:c>
      <x:c r="D8" s="27" t="str">
        <x:v>草寇事件后的二次决裂</x:v>
      </x:c>
      <x:c r="E8" s="27" t="str">
        <x:v>第56回</x:v>
      </x:c>
      <x:c r="F8" s="27" t="str">
        <x:v>神狂誅草寇 道昧放心猿</x:v>
      </x:c>
      <x:c r="G8" s="27" t="str">
        <x:v>回目证据</x:v>
      </x:c>
      <x:c r="H8" s="27" t="str">
        <x:v>神狂誅草寇；道昧放心猿</x:v>
      </x:c>
      <x:c r="I8" s="27" t="str">
        <x:v>“放心猿”点出问题已从外部妖魔转向内部心性、尺度与关系裂缝。</x:v>
      </x:c>
      <x:c r="J8" s="27" t="str">
        <x:v>心性/尺度</x:v>
      </x:c>
      <x:c r="K8" s="27" t="str">
        <x:v>执行强度越大，越需要价值边界与反馈机制。</x:v>
      </x:c>
      <x:c r="L8" s="27" t="str">
        <x:v>https://zh.wikisource.org/wiki/西遊記/第056回</x:v>
      </x:c>
      <x:c r="M8" s="27" t="str">
        <x:v>已补证</x:v>
      </x:c>
    </x:row>
    <x:row r="9">
      <x:c r="A9" s="27" t="str">
        <x:v>V26-008</x:v>
      </x:c>
      <x:c r="B9" s="27" t="n">
        <x:v>45</x:v>
      </x:c>
      <x:c r="C9" s="27" t="str">
        <x:v>再貶心猿</x:v>
      </x:c>
      <x:c r="D9" s="27" t="str">
        <x:v>执行尺度争议</x:v>
      </x:c>
      <x:c r="E9" s="27" t="str">
        <x:v>第56回</x:v>
      </x:c>
      <x:c r="F9" s="27" t="str">
        <x:v>神狂誅草寇 道昧放心猿</x:v>
      </x:c>
      <x:c r="G9" s="27" t="str">
        <x:v>行为证据</x:v>
      </x:c>
      <x:c r="H9" s="27" t="str">
        <x:v>誅草寇</x:v>
      </x:c>
      <x:c r="I9" s="27" t="str">
        <x:v>草寇非典型妖怪，悟空处置方式引发唐僧价值冲突。</x:v>
      </x:c>
      <x:c r="J9" s="27" t="str">
        <x:v>治理/尺度</x:v>
      </x:c>
      <x:c r="K9" s="27" t="str">
        <x:v>同样是“除害”，不同对象需要不同处置尺度。</x:v>
      </x:c>
      <x:c r="L9" s="27" t="str">
        <x:v>https://zh.wikisource.org/wiki/西遊記/第056回</x:v>
      </x:c>
      <x:c r="M9" s="27" t="str">
        <x:v>已补证</x:v>
      </x:c>
    </x:row>
    <x:row r="10">
      <x:c r="A10" s="27" t="str">
        <x:v>V26-009</x:v>
      </x:c>
      <x:c r="B10" s="27" t="n">
        <x:v>45</x:v>
      </x:c>
      <x:c r="C10" s="27" t="str">
        <x:v>再貶心猿</x:v>
      </x:c>
      <x:c r="D10" s="27" t="str">
        <x:v>师徒关系裂缝</x:v>
      </x:c>
      <x:c r="E10" s="27" t="str">
        <x:v>第56回</x:v>
      </x:c>
      <x:c r="F10" s="27" t="str">
        <x:v>神狂誅草寇 道昧放心猿</x:v>
      </x:c>
      <x:c r="G10" s="27" t="str">
        <x:v>团队证据</x:v>
      </x:c>
      <x:c r="H10" s="27" t="str">
        <x:v>放心猿</x:v>
      </x:c>
      <x:c r="I10" s="27" t="str">
        <x:v>回目把“心猿”与“放”相连，说明团队约束和内在自律同时失效。</x:v>
      </x:c>
      <x:c r="J10" s="27" t="str">
        <x:v>团队/心性</x:v>
      </x:c>
      <x:c r="K10" s="27" t="str">
        <x:v>关系崩裂不是一时冲突，而是长期信任缺口的爆发。</x:v>
      </x:c>
      <x:c r="L10" s="27" t="str">
        <x:v>https://zh.wikisource.org/wiki/西遊記/第056回</x:v>
      </x:c>
      <x:c r="M10" s="27" t="str">
        <x:v>已补证</x:v>
      </x:c>
    </x:row>
    <x:row r="11">
      <x:c r="A11" s="27" t="str">
        <x:v>V26-010</x:v>
      </x:c>
      <x:c r="B11" s="27" t="n">
        <x:v>46</x:v>
      </x:c>
      <x:c r="C11" s="27" t="str">
        <x:v>難辨獼猴</x:v>
      </x:c>
      <x:c r="D11" s="27" t="str">
        <x:v>真假美猴王开始</x:v>
      </x:c>
      <x:c r="E11" s="27" t="str">
        <x:v>第57回</x:v>
      </x:c>
      <x:c r="F11" s="27" t="str">
        <x:v>真行者落伽山诉苦 假猴王水帘洞誊文</x:v>
      </x:c>
      <x:c r="G11" s="27" t="str">
        <x:v>回目证据</x:v>
      </x:c>
      <x:c r="H11" s="27" t="str">
        <x:v>真行者；假猴王</x:v>
      </x:c>
      <x:c r="I11" s="27" t="str">
        <x:v>标题直接构成身份复制与组织认证问题：真者申诉，假者占位。</x:v>
      </x:c>
      <x:c r="J11" s="27" t="str">
        <x:v>身份/认证</x:v>
      </x:c>
      <x:c r="K11" s="27" t="str">
        <x:v>越是关键岗位，越要有身份、权限、证据链校核。</x:v>
      </x:c>
      <x:c r="L11" s="27" t="str">
        <x:v>https://zh.wikisource.org/wiki/西遊記/第057回</x:v>
      </x:c>
      <x:c r="M11" s="27" t="str">
        <x:v>已补证</x:v>
      </x:c>
    </x:row>
    <x:row r="12">
      <x:c r="A12" s="27" t="str">
        <x:v>V26-011</x:v>
      </x:c>
      <x:c r="B12" s="27" t="n">
        <x:v>46</x:v>
      </x:c>
      <x:c r="C12" s="27" t="str">
        <x:v>難辨獼猴</x:v>
      </x:c>
      <x:c r="D12" s="27" t="str">
        <x:v>二心之辨</x:v>
      </x:c>
      <x:c r="E12" s="27" t="str">
        <x:v>第58回</x:v>
      </x:c>
      <x:c r="F12" s="27" t="str">
        <x:v>二心搅乱大乾坤 一体难修真寂灭</x:v>
      </x:c>
      <x:c r="G12" s="27" t="str">
        <x:v>回目证据</x:v>
      </x:c>
      <x:c r="H12" s="27" t="str">
        <x:v>二心搅乱；一体难修</x:v>
      </x:c>
      <x:c r="I12" s="27" t="str">
        <x:v>真假美猴王不只是外部冒充，更是“二心”不能统一的寓言。</x:v>
      </x:c>
      <x:c r="J12" s="27" t="str">
        <x:v>心性/分裂</x:v>
      </x:c>
      <x:c r="K12" s="27" t="str">
        <x:v>最难战胜的不是外敌，而是另一个失控的自己。</x:v>
      </x:c>
      <x:c r="L12" s="27" t="str">
        <x:v>https://zh.wikisource.org/wiki/西遊記/第058回</x:v>
      </x:c>
      <x:c r="M12" s="27" t="str">
        <x:v>已补证</x:v>
      </x:c>
    </x:row>
    <x:row r="13">
      <x:c r="A13" s="27" t="str">
        <x:v>V26-012</x:v>
      </x:c>
      <x:c r="B13" s="27" t="n">
        <x:v>46</x:v>
      </x:c>
      <x:c r="C13" s="27" t="str">
        <x:v>難辨獼猴</x:v>
      </x:c>
      <x:c r="D13" s="27" t="str">
        <x:v>最高终裁</x:v>
      </x:c>
      <x:c r="E13" s="27" t="str">
        <x:v>第58回</x:v>
      </x:c>
      <x:c r="F13" s="27" t="str">
        <x:v>二心搅乱大乾坤 一体难修真寂灭</x:v>
      </x:c>
      <x:c r="G13" s="27" t="str">
        <x:v>裁决证据</x:v>
      </x:c>
      <x:c r="H13" s="27" t="str">
        <x:v>一体难修真寂灭</x:v>
      </x:c>
      <x:c r="I13" s="27" t="str">
        <x:v>真假争端经多方辨识仍难定，最终需要最高系统裁决。</x:v>
      </x:c>
      <x:c r="J13" s="27" t="str">
        <x:v>制度/终裁</x:v>
      </x:c>
      <x:c r="K13" s="27" t="str">
        <x:v>当同级机制无法辨真伪，要进入更高层级终裁。</x:v>
      </x:c>
      <x:c r="L13" s="27" t="str">
        <x:v>https://zh.wikisource.org/wiki/西遊記/第058回</x:v>
      </x:c>
      <x:c r="M13" s="27" t="str">
        <x:v>已补证</x:v>
      </x:c>
    </x:row>
    <x:row r="14">
      <x:c r="A14" s="27" t="str">
        <x:v>V26-013</x:v>
      </x:c>
      <x:c r="B14" s="27" t="n">
        <x:v>53</x:v>
      </x:c>
      <x:c r="C14" s="27" t="str">
        <x:v>小雷音遇難</x:v>
      </x:c>
      <x:c r="D14" s="27" t="str">
        <x:v>假设小雷音</x:v>
      </x:c>
      <x:c r="E14" s="27" t="str">
        <x:v>第65回</x:v>
      </x:c>
      <x:c r="F14" s="27" t="str">
        <x:v>妖邪假設小雷音 四眾皆遭大厄難</x:v>
      </x:c>
      <x:c r="G14" s="27" t="str">
        <x:v>回目证据</x:v>
      </x:c>
      <x:c r="H14" s="27" t="str">
        <x:v>妖邪假設小雷音</x:v>
      </x:c>
      <x:c r="I14" s="27" t="str">
        <x:v>“假设”二字是核心：妖怪借佛门名号建立假权威场景。</x:v>
      </x:c>
      <x:c r="J14" s="27" t="str">
        <x:v>假权威</x:v>
      </x:c>
      <x:c r="K14" s="27" t="str">
        <x:v>假权威最危险处在于它披着正确形式。</x:v>
      </x:c>
      <x:c r="L14" s="27" t="str">
        <x:v>https://zh.wikisource.org/wiki/西遊記/第065回</x:v>
      </x:c>
      <x:c r="M14" s="27" t="str">
        <x:v>已补证</x:v>
      </x:c>
    </x:row>
    <x:row r="15">
      <x:c r="A15" s="27" t="str">
        <x:v>V26-014</x:v>
      </x:c>
      <x:c r="B15" s="27" t="n">
        <x:v>53</x:v>
      </x:c>
      <x:c r="C15" s="27" t="str">
        <x:v>小雷音遇難</x:v>
      </x:c>
      <x:c r="D15" s="27" t="str">
        <x:v>悟空预警未被接受</x:v>
      </x:c>
      <x:c r="E15" s="27" t="str">
        <x:v>第65回</x:v>
      </x:c>
      <x:c r="F15" s="27" t="str">
        <x:v>妖邪假設小雷音 四眾皆遭大厄難</x:v>
      </x:c>
      <x:c r="G15" s="27" t="str">
        <x:v>预警证据</x:v>
      </x:c>
      <x:c r="H15" s="27" t="str">
        <x:v>決不可擅入，恐遭毒手</x:v>
      </x:c>
      <x:c r="I15" s="27" t="str">
        <x:v>悟空明确预警，但唐僧因“雷音”名号和拜佛执念选择进入。</x:v>
      </x:c>
      <x:c r="J15" s="27" t="str">
        <x:v>预警/误判</x:v>
      </x:c>
      <x:c r="K15" s="27" t="str">
        <x:v>预警机制必须能压过形式主义冲动。</x:v>
      </x:c>
      <x:c r="L15" s="27" t="str">
        <x:v>https://zh.wikisource.org/wiki/西遊記/第065回</x:v>
      </x:c>
      <x:c r="M15" s="27" t="str">
        <x:v>已补证</x:v>
      </x:c>
    </x:row>
    <x:row r="16">
      <x:c r="A16" s="27" t="str">
        <x:v>V26-015</x:v>
      </x:c>
      <x:c r="B16" s="27" t="n">
        <x:v>53</x:v>
      </x:c>
      <x:c r="C16" s="27" t="str">
        <x:v>小雷音遇難</x:v>
      </x:c>
      <x:c r="D16" s="27" t="str">
        <x:v>四众皆困</x:v>
      </x:c>
      <x:c r="E16" s="27" t="str">
        <x:v>第65回</x:v>
      </x:c>
      <x:c r="F16" s="27" t="str">
        <x:v>妖邪假設小雷音 四眾皆遭大厄難</x:v>
      </x:c>
      <x:c r="G16" s="27" t="str">
        <x:v>后果证据</x:v>
      </x:c>
      <x:c r="H16" s="27" t="str">
        <x:v>四眾皆遭大厄難</x:v>
      </x:c>
      <x:c r="I16" s="27" t="str">
        <x:v>一处假权威导致全团队陷入系统性风险。</x:v>
      </x:c>
      <x:c r="J16" s="27" t="str">
        <x:v>系统风险</x:v>
      </x:c>
      <x:c r="K16" s="27" t="str">
        <x:v>假权威不是单点风险，而是可使团队整体失能。</x:v>
      </x:c>
      <x:c r="L16" s="27" t="str">
        <x:v>https://zh.wikisource.org/wiki/西遊記/第065回</x:v>
      </x:c>
      <x:c r="M16" s="27" t="str">
        <x:v>已补证</x:v>
      </x:c>
    </x:row>
    <x:row r="17">
      <x:c r="A17" s="27" t="str">
        <x:v>V26-016</x:v>
      </x:c>
      <x:c r="B17" s="27" t="n">
        <x:v>53</x:v>
      </x:c>
      <x:c r="C17" s="27" t="str">
        <x:v>小雷音遇難</x:v>
      </x:c>
      <x:c r="D17" s="27" t="str">
        <x:v>金铙困悟空</x:v>
      </x:c>
      <x:c r="E17" s="27" t="str">
        <x:v>第65回</x:v>
      </x:c>
      <x:c r="F17" s="27" t="str">
        <x:v>妖邪假設小雷音 四眾皆遭大厄難</x:v>
      </x:c>
      <x:c r="G17" s="27" t="str">
        <x:v>法宝证据</x:v>
      </x:c>
      <x:c r="H17" s="27" t="str">
        <x:v>合在金鐃之內</x:v>
      </x:c>
      <x:c r="I17" s="27" t="str">
        <x:v>金铙将悟空封闭，说明法宝能把最高执行能力降维压制。</x:v>
      </x:c>
      <x:c r="J17" s="27" t="str">
        <x:v>法宝/压制</x:v>
      </x:c>
      <x:c r="K17" s="27" t="str">
        <x:v>工具型权力可能瞬间改变能力对比。</x:v>
      </x:c>
      <x:c r="L17" s="27" t="str">
        <x:v>https://zh.wikisource.org/wiki/西遊記/第065回</x:v>
      </x:c>
      <x:c r="M17" s="27" t="str">
        <x:v>已补证</x:v>
      </x:c>
    </x:row>
    <x:row r="18">
      <x:c r="A18" s="27" t="str">
        <x:v>V26-017</x:v>
      </x:c>
      <x:c r="B18" s="27" t="n">
        <x:v>54</x:v>
      </x:c>
      <x:c r="C18" s="27" t="str">
        <x:v>諸天神遭困</x:v>
      </x:c>
      <x:c r="D18" s="27" t="str">
        <x:v>诸神遭毒手</x:v>
      </x:c>
      <x:c r="E18" s="27" t="str">
        <x:v>第66回</x:v>
      </x:c>
      <x:c r="F18" s="27" t="str">
        <x:v>諸神遭毒手 彌勒縛妖魔</x:v>
      </x:c>
      <x:c r="G18" s="27" t="str">
        <x:v>回目证据</x:v>
      </x:c>
      <x:c r="H18" s="27" t="str">
        <x:v>諸神遭毒手</x:v>
      </x:c>
      <x:c r="I18" s="27" t="str">
        <x:v>救援系统自身也被困，标志风险等级升级。</x:v>
      </x:c>
      <x:c r="J18" s="27" t="str">
        <x:v>救援失效</x:v>
      </x:c>
      <x:c r="K18" s="27" t="str">
        <x:v>当救援者也被困，说明已经不是普通战术问题。</x:v>
      </x:c>
      <x:c r="L18" s="27" t="str">
        <x:v>https://zh.wikisource.org/wiki/西遊記/第066回</x:v>
      </x:c>
      <x:c r="M18" s="27" t="str">
        <x:v>已补证</x:v>
      </x:c>
    </x:row>
    <x:row r="19">
      <x:c r="A19" s="27" t="str">
        <x:v>V26-018</x:v>
      </x:c>
      <x:c r="B19" s="27" t="n">
        <x:v>54</x:v>
      </x:c>
      <x:c r="C19" s="27" t="str">
        <x:v>諸天神遭困</x:v>
      </x:c>
      <x:c r="D19" s="27" t="str">
        <x:v>弥勒收束</x:v>
      </x:c>
      <x:c r="E19" s="27" t="str">
        <x:v>第66回</x:v>
      </x:c>
      <x:c r="F19" s="27" t="str">
        <x:v>諸神遭毒手 彌勒縛妖魔</x:v>
      </x:c>
      <x:c r="G19" s="27" t="str">
        <x:v>终局证据</x:v>
      </x:c>
      <x:c r="H19" s="27" t="str">
        <x:v>彌勒縛妖魔</x:v>
      </x:c>
      <x:c r="I19" s="27" t="str">
        <x:v>最终由弥勒收束，揭示后台与权责边界。</x:v>
      </x:c>
      <x:c r="J19" s="27" t="str">
        <x:v>后台/收束</x:v>
      </x:c>
      <x:c r="K19" s="27" t="str">
        <x:v>后台妖怪的处置不能只靠前线战斗，还要追溯归属。</x:v>
      </x:c>
      <x:c r="L19" s="27" t="str">
        <x:v>https://zh.wikisource.org/wiki/西遊記/第066回</x:v>
      </x:c>
      <x:c r="M19" s="27" t="str">
        <x:v>已补证</x:v>
      </x:c>
    </x:row>
    <x:row r="20">
      <x:c r="A20" s="27" t="str">
        <x:v>V26-019</x:v>
      </x:c>
      <x:c r="B20" s="27" t="n">
        <x:v>61</x:v>
      </x:c>
      <x:c r="C20" s="27" t="str">
        <x:v>路阻獅駝</x:v>
      </x:c>
      <x:c r="D20" s="27" t="str">
        <x:v>狮驼岭预警</x:v>
      </x:c>
      <x:c r="E20" s="27" t="str">
        <x:v>第74回</x:v>
      </x:c>
      <x:c r="F20" s="27" t="str">
        <x:v>長庚傳報魔頭狠 行者施為變化能</x:v>
      </x:c>
      <x:c r="G20" s="27" t="str">
        <x:v>回目证据</x:v>
      </x:c>
      <x:c r="H20" s="27" t="str">
        <x:v>長庚傳報魔頭狠</x:v>
      </x:c>
      <x:c r="I20" s="27" t="str">
        <x:v>太白金星提前传报，说明狮驼岭是被高层感知的极端风险。</x:v>
      </x:c>
      <x:c r="J20" s="27" t="str">
        <x:v>预警/极端风险</x:v>
      </x:c>
      <x:c r="K20" s="27" t="str">
        <x:v>极端风险出现前往往已有预警，关键在于是否充分响应。</x:v>
      </x:c>
      <x:c r="L20" s="27" t="str">
        <x:v>https://zh.wikisource.org/wiki/西遊記/第074回</x:v>
      </x:c>
      <x:c r="M20" s="27" t="str">
        <x:v>已补证</x:v>
      </x:c>
    </x:row>
    <x:row r="21">
      <x:c r="A21" s="27" t="str">
        <x:v>V26-020</x:v>
      </x:c>
      <x:c r="B21" s="27" t="n">
        <x:v>61</x:v>
      </x:c>
      <x:c r="C21" s="27" t="str">
        <x:v>路阻獅駝</x:v>
      </x:c>
      <x:c r="D21" s="27" t="str">
        <x:v>悟空侦察</x:v>
      </x:c>
      <x:c r="E21" s="27" t="str">
        <x:v>第74回</x:v>
      </x:c>
      <x:c r="F21" s="27" t="str">
        <x:v>長庚傳報魔頭狠 行者施為變化能</x:v>
      </x:c>
      <x:c r="G21" s="27" t="str">
        <x:v>侦察证据</x:v>
      </x:c>
      <x:c r="H21" s="27" t="str">
        <x:v>行者施為變化能</x:v>
      </x:c>
      <x:c r="I21" s="27" t="str">
        <x:v>悟空以变化能力先行侦察，体现“先摸底、后处置”。</x:v>
      </x:c>
      <x:c r="J21" s="27" t="str">
        <x:v>侦察/治理</x:v>
      </x:c>
      <x:c r="K21" s="27" t="str">
        <x:v>面对组织化风险，侦察比硬攻更优先。</x:v>
      </x:c>
      <x:c r="L21" s="27" t="str">
        <x:v>https://zh.wikisource.org/wiki/西遊記/第074回</x:v>
      </x:c>
      <x:c r="M21" s="27" t="str">
        <x:v>已补证</x:v>
      </x:c>
    </x:row>
    <x:row r="22">
      <x:c r="A22" s="27" t="str">
        <x:v>V26-021</x:v>
      </x:c>
      <x:c r="B22" s="27" t="n">
        <x:v>62</x:v>
      </x:c>
      <x:c r="C22" s="27" t="str">
        <x:v>怪分三色</x:v>
      </x:c>
      <x:c r="D22" s="27" t="str">
        <x:v>三魔集团</x:v>
      </x:c>
      <x:c r="E22" s="27" t="str">
        <x:v>第75回</x:v>
      </x:c>
      <x:c r="F22" s="27" t="str">
        <x:v>心猿鑽透陰陽竅 魔王還歸大道真</x:v>
      </x:c>
      <x:c r="G22" s="27" t="str">
        <x:v>结构证据</x:v>
      </x:c>
      <x:c r="H22" s="27" t="str">
        <x:v>三色魔王/三魔体系</x:v>
      </x:c>
      <x:c r="I22" s="27" t="str">
        <x:v>青狮、白象、大鹏各有后台和能力，构成复合型妖怪集团。</x:v>
      </x:c>
      <x:c r="J22" s="27" t="str">
        <x:v>组织化妖怪</x:v>
      </x:c>
      <x:c r="K22" s="27" t="str">
        <x:v>风险集团化后，单一能力不再足够。</x:v>
      </x:c>
      <x:c r="L22" s="27" t="str">
        <x:v>https://zh.wikisource.org/wiki/西遊記/第075回</x:v>
      </x:c>
      <x:c r="M22" s="27" t="str">
        <x:v>待复核短摘</x:v>
      </x:c>
    </x:row>
    <x:row r="23">
      <x:c r="A23" s="27" t="str">
        <x:v>V26-022</x:v>
      </x:c>
      <x:c r="B23" s="27" t="n">
        <x:v>62</x:v>
      </x:c>
      <x:c r="C23" s="27" t="str">
        <x:v>怪分三色</x:v>
      </x:c>
      <x:c r="D23" s="27" t="str">
        <x:v>青狮吞悟空</x:v>
      </x:c>
      <x:c r="E23" s="27" t="str">
        <x:v>第75回</x:v>
      </x:c>
      <x:c r="F23" s="27" t="str">
        <x:v>心猿鑽透陰陽竅 魔王還歸大道真</x:v>
      </x:c>
      <x:c r="G23" s="27" t="str">
        <x:v>体内破局</x:v>
      </x:c>
      <x:c r="H23" s="27" t="str">
        <x:v>心猿鑽透陰陽竅</x:v>
      </x:c>
      <x:c r="I23" s="27" t="str">
        <x:v>悟空被吞后反从内部破局，是“进入系统内部找弱点”的典型段落。</x:v>
      </x:c>
      <x:c r="J23" s="27" t="str">
        <x:v>内部破局</x:v>
      </x:c>
      <x:c r="K23" s="27" t="str">
        <x:v>有些系统性风险只能从内部结构突破。</x:v>
      </x:c>
      <x:c r="L23" s="27" t="str">
        <x:v>https://zh.wikisource.org/wiki/西遊記/第075回</x:v>
      </x:c>
      <x:c r="M23" s="27" t="str">
        <x:v>待复核短摘</x:v>
      </x:c>
    </x:row>
    <x:row r="24">
      <x:c r="A24" s="27" t="str">
        <x:v>V26-023</x:v>
      </x:c>
      <x:c r="B24" s="27" t="n">
        <x:v>63</x:v>
      </x:c>
      <x:c r="C24" s="27" t="str">
        <x:v>城裡遇災</x:v>
      </x:c>
      <x:c r="D24" s="27" t="str">
        <x:v>狮驼国群妖</x:v>
      </x:c>
      <x:c r="E24" s="27" t="str">
        <x:v>第76回</x:v>
      </x:c>
      <x:c r="F24" s="27" t="str">
        <x:v>心神居舍魔歸性 木母同降怪體真</x:v>
      </x:c>
      <x:c r="G24" s="27" t="str">
        <x:v>区域风险</x:v>
      </x:c>
      <x:c r="H24" s="27" t="str">
        <x:v>獅駝國/城裡遇災</x:v>
      </x:c>
      <x:c r="I24" s="27" t="str">
        <x:v>狮驼国不是单个山洞，而是妖怪成为区域秩序。</x:v>
      </x:c>
      <x:c r="J24" s="27" t="str">
        <x:v>区域治理</x:v>
      </x:c>
      <x:c r="K24" s="27" t="str">
        <x:v>当风险成为地方秩序，治理难度远超单点降妖。</x:v>
      </x:c>
      <x:c r="L24" s="27" t="str">
        <x:v>https://zh.wikisource.org/wiki/西遊記/第076回</x:v>
      </x:c>
      <x:c r="M24" s="27" t="str">
        <x:v>待复核短摘</x:v>
      </x:c>
    </x:row>
    <x:row r="25">
      <x:c r="A25" s="27" t="str">
        <x:v>V26-024</x:v>
      </x:c>
      <x:c r="B25" s="27" t="n">
        <x:v>64</x:v>
      </x:c>
      <x:c r="C25" s="27" t="str">
        <x:v>請佛收魔</x:v>
      </x:c>
      <x:c r="D25" s="27" t="str">
        <x:v>最高系统收束</x:v>
      </x:c>
      <x:c r="E25" s="27" t="str">
        <x:v>第77回</x:v>
      </x:c>
      <x:c r="F25" s="27" t="str">
        <x:v>群魔欺本性 一體拜真如</x:v>
      </x:c>
      <x:c r="G25" s="27" t="str">
        <x:v>回目证据</x:v>
      </x:c>
      <x:c r="H25" s="27" t="str">
        <x:v>群魔欺本性；一體拜真如</x:v>
      </x:c>
      <x:c r="I25" s="27" t="str">
        <x:v>“一体拜真如”说明狮驼岭必须由如来系统作最高收束。</x:v>
      </x:c>
      <x:c r="J25" s="27" t="str">
        <x:v>后台/最高裁决</x:v>
      </x:c>
      <x:c r="K25" s="27" t="str">
        <x:v>最高风险需要最高层级担责与收束。</x:v>
      </x:c>
      <x:c r="L25" s="27" t="str">
        <x:v>https://zh.wikisource.org/wiki/西遊記/第077回</x:v>
      </x:c>
      <x:c r="M25" s="27" t="str">
        <x:v>已补证</x:v>
      </x:c>
    </x:row>
    <x:row r="26">
      <x:c r="A26" s="27" t="str">
        <x:v>V26-025</x:v>
      </x:c>
      <x:c r="B26" s="27" t="n">
        <x:v>64</x:v>
      </x:c>
      <x:c r="C26" s="27" t="str">
        <x:v>請佛收魔</x:v>
      </x:c>
      <x:c r="D26" s="27" t="str">
        <x:v>三层后台链</x:v>
      </x:c>
      <x:c r="E26" s="27" t="str">
        <x:v>第77回</x:v>
      </x:c>
      <x:c r="F26" s="27" t="str">
        <x:v>群魔欺本性 一體拜真如</x:v>
      </x:c>
      <x:c r="G26" s="27" t="str">
        <x:v>后台证据</x:v>
      </x:c>
      <x:c r="H26" s="27" t="str">
        <x:v>文殊、普贤、如来系统</x:v>
      </x:c>
      <x:c r="I26" s="27" t="str">
        <x:v>青狮、白象、大鹏分别牵出文殊、普贤、如来系统。</x:v>
      </x:c>
      <x:c r="J26" s="27" t="str">
        <x:v>后台责任</x:v>
      </x:c>
      <x:c r="K26" s="27" t="str">
        <x:v>后台不是免罪符，而是责任链索引。</x:v>
      </x:c>
      <x:c r="L26" s="27" t="str">
        <x:v>https://zh.wikisource.org/wiki/西遊記/第077回</x:v>
      </x:c>
      <x:c r="M26" s="27" t="str">
        <x:v>已补证</x:v>
      </x:c>
    </x:row>
    <x:row r="27">
      <x:c r="A27" s="27" t="str">
        <x:v>V26-026</x:v>
      </x:c>
      <x:c r="B27" s="27" t="n">
        <x:v>79</x:v>
      </x:c>
      <x:c r="C27" s="27" t="str">
        <x:v>銅臺府監禁</x:v>
      </x:c>
      <x:c r="D27" s="27" t="str">
        <x:v>寇员外善缘起点</x:v>
      </x:c>
      <x:c r="E27" s="27" t="str">
        <x:v>第96回</x:v>
      </x:c>
      <x:c r="F27" s="27" t="str">
        <x:v>寇員外喜待高僧 唐長老不貪富貴</x:v>
      </x:c>
      <x:c r="G27" s="27" t="str">
        <x:v>回目证据</x:v>
      </x:c>
      <x:c r="H27" s="27" t="str">
        <x:v>寇員外喜待高僧</x:v>
      </x:c>
      <x:c r="I27" s="27" t="str">
        <x:v>接近灵山前不再是妖魔阻路，而是善缘、布施、人情与滞留风险。</x:v>
      </x:c>
      <x:c r="J27" s="27" t="str">
        <x:v>善缘/滞留</x:v>
      </x:c>
      <x:c r="K27" s="27" t="str">
        <x:v>好意也可能形成拖延，关键在使命边界。</x:v>
      </x:c>
      <x:c r="L27" s="27" t="str">
        <x:v>https://zh.wikisource.org/wiki/西遊記/第096回</x:v>
      </x:c>
      <x:c r="M27" s="27" t="str">
        <x:v>已补证</x:v>
      </x:c>
    </x:row>
    <x:row r="28">
      <x:c r="A28" s="27" t="str">
        <x:v>V26-027</x:v>
      </x:c>
      <x:c r="B28" s="27" t="n">
        <x:v>79</x:v>
      </x:c>
      <x:c r="C28" s="27" t="str">
        <x:v>銅臺府監禁</x:v>
      </x:c>
      <x:c r="D28" s="27" t="str">
        <x:v>不贪富贵</x:v>
      </x:c>
      <x:c r="E28" s="27" t="str">
        <x:v>第96回</x:v>
      </x:c>
      <x:c r="F28" s="27" t="str">
        <x:v>寇員外喜待高僧 唐長老不貪富貴</x:v>
      </x:c>
      <x:c r="G28" s="27" t="str">
        <x:v>心性证据</x:v>
      </x:c>
      <x:c r="H28" s="27" t="str">
        <x:v>唐長老不貪富貴</x:v>
      </x:c>
      <x:c r="I28" s="27" t="str">
        <x:v>收官阶段的考验是能否不被善待与富贵留住。</x:v>
      </x:c>
      <x:c r="J28" s="27" t="str">
        <x:v>心性/边界</x:v>
      </x:c>
      <x:c r="K28" s="27" t="str">
        <x:v>越接近成功，越要防止被舒适区拦住。</x:v>
      </x:c>
      <x:c r="L28" s="27" t="str">
        <x:v>https://zh.wikisource.org/wiki/西遊記/第096回</x:v>
      </x:c>
      <x:c r="M28" s="27" t="str">
        <x:v>已补证</x:v>
      </x:c>
    </x:row>
    <x:row r="29">
      <x:c r="A29" s="27" t="str">
        <x:v>V26-028</x:v>
      </x:c>
      <x:c r="B29" s="27" t="n">
        <x:v>79</x:v>
      </x:c>
      <x:c r="C29" s="27" t="str">
        <x:v>銅臺府監禁</x:v>
      </x:c>
      <x:c r="D29" s="27" t="str">
        <x:v>外护遭难</x:v>
      </x:c>
      <x:c r="E29" s="27" t="str">
        <x:v>第97回</x:v>
      </x:c>
      <x:c r="F29" s="27" t="str">
        <x:v>金酬外護遭魔蟄 聖顯幽魂救本原</x:v>
      </x:c>
      <x:c r="G29" s="27" t="str">
        <x:v>回目证据</x:v>
      </x:c>
      <x:c r="H29" s="27" t="str">
        <x:v>外護遭魔蟄</x:v>
      </x:c>
      <x:c r="I29" s="27" t="str">
        <x:v>保护取经的外部善人也会卷入因果与冤案。</x:v>
      </x:c>
      <x:c r="J29" s="27" t="str">
        <x:v>外护/冤案</x:v>
      </x:c>
      <x:c r="K29" s="27" t="str">
        <x:v>项目成果之外，还要保护支持者与外围生态。</x:v>
      </x:c>
      <x:c r="L29" s="27" t="str">
        <x:v>https://zh.wikisource.org/wiki/西遊記/第097回</x:v>
      </x:c>
      <x:c r="M29" s="27" t="str">
        <x:v>已补证</x:v>
      </x:c>
    </x:row>
    <x:row r="30">
      <x:c r="A30" s="27" t="str">
        <x:v>V26-029</x:v>
      </x:c>
      <x:c r="B30" s="27" t="n">
        <x:v>80</x:v>
      </x:c>
      <x:c r="C30" s="27" t="str">
        <x:v>凌雲渡脫胎</x:v>
      </x:c>
      <x:c r="D30" s="27" t="str">
        <x:v>脱壳见真如</x:v>
      </x:c>
      <x:c r="E30" s="27" t="str">
        <x:v>第98回</x:v>
      </x:c>
      <x:c r="F30" s="27" t="str">
        <x:v>猿熟馬馴方脫殼 功成行滿見真如</x:v>
      </x:c>
      <x:c r="G30" s="27" t="str">
        <x:v>回目证据</x:v>
      </x:c>
      <x:c r="H30" s="27" t="str">
        <x:v>方脫殼；見真如</x:v>
      </x:c>
      <x:c r="I30" s="27" t="str">
        <x:v>凌云渡不是地理过渡，而是身心层面的脱胎。</x:v>
      </x:c>
      <x:c r="J30" s="27" t="str">
        <x:v>成就/转化</x:v>
      </x:c>
      <x:c r="K30" s="27" t="str">
        <x:v>真正的完成不是到达，而是自身发生转化。</x:v>
      </x:c>
      <x:c r="L30" s="27" t="str">
        <x:v>https://zh.wikisource.org/wiki/西遊記/第098回</x:v>
      </x:c>
      <x:c r="M30" s="27" t="str">
        <x:v>已补证</x:v>
      </x:c>
    </x:row>
    <x:row r="31">
      <x:c r="A31" s="27" t="str">
        <x:v>V26-030</x:v>
      </x:c>
      <x:c r="B31" s="27" t="n">
        <x:v>80</x:v>
      </x:c>
      <x:c r="C31" s="27" t="str">
        <x:v>凌雲渡脫胎</x:v>
      </x:c>
      <x:c r="D31" s="27" t="str">
        <x:v>功成行满</x:v>
      </x:c>
      <x:c r="E31" s="27" t="str">
        <x:v>第98回</x:v>
      </x:c>
      <x:c r="F31" s="27" t="str">
        <x:v>猿熟馬馴方脫殼 功成行滿見真如</x:v>
      </x:c>
      <x:c r="G31" s="27" t="str">
        <x:v>成果证据</x:v>
      </x:c>
      <x:c r="H31" s="27" t="str">
        <x:v>功成行滿</x:v>
      </x:c>
      <x:c r="I31" s="27" t="str">
        <x:v>取经工程在此进入成果交付阶段，但仍有质量与难数校核。</x:v>
      </x:c>
      <x:c r="J31" s="27" t="str">
        <x:v>成果/交付</x:v>
      </x:c>
      <x:c r="K31" s="27" t="str">
        <x:v>成果交付前仍需质量、完整性和资格确认。</x:v>
      </x:c>
      <x:c r="L31" s="27" t="str">
        <x:v>https://zh.wikisource.org/wiki/西遊記/第098回</x:v>
      </x:c>
      <x:c r="M31" s="27" t="str">
        <x:v>已补证</x:v>
      </x:c>
    </x:row>
    <x:row r="32">
      <x:c r="A32" s="27" t="str">
        <x:v>V26-031</x:v>
      </x:c>
      <x:c r="B32" s="27" t="n">
        <x:v>81</x:v>
      </x:c>
      <x:c r="C32" s="27" t="str">
        <x:v>老黿濕經</x:v>
      </x:c>
      <x:c r="D32" s="27" t="str">
        <x:v>还少一难</x:v>
      </x:c>
      <x:c r="E32" s="27" t="str">
        <x:v>第99回</x:v>
      </x:c>
      <x:c r="F32" s="27" t="str">
        <x:v>九九數完魔剗盡 三三行滿道歸根</x:v>
      </x:c>
      <x:c r="G32" s="27" t="str">
        <x:v>难簿证据</x:v>
      </x:c>
      <x:c r="H32" s="27" t="str">
        <x:v>還少一難</x:v>
      </x:c>
      <x:c r="I32" s="27" t="str">
        <x:v>第99回明确说明唐僧只受八十难，还需补足九九归真。</x:v>
      </x:c>
      <x:c r="J32" s="27" t="str">
        <x:v>收官/校核</x:v>
      </x:c>
      <x:c r="K32" s="27" t="str">
        <x:v>成功前的最后一步，往往是完整性校核。</x:v>
      </x:c>
      <x:c r="L32" s="27" t="str">
        <x:v>https://zh.wikisource.org/wiki/西遊記/第099回</x:v>
      </x:c>
      <x:c r="M32" s="27" t="str">
        <x:v>已补证</x:v>
      </x:c>
    </x:row>
    <x:row r="33">
      <x:c r="A33" s="27" t="str">
        <x:v>V26-032</x:v>
      </x:c>
      <x:c r="B33" s="27" t="n">
        <x:v>81</x:v>
      </x:c>
      <x:c r="C33" s="27" t="str">
        <x:v>老黿濕經</x:v>
      </x:c>
      <x:c r="D33" s="27" t="str">
        <x:v>老鼋问寿</x:v>
      </x:c>
      <x:c r="E33" s="27" t="str">
        <x:v>第99回</x:v>
      </x:c>
      <x:c r="F33" s="27" t="str">
        <x:v>九九數完魔剗盡 三三行滿道歸根</x:v>
      </x:c>
      <x:c r="G33" s="27" t="str">
        <x:v>因果证据</x:v>
      </x:c>
      <x:c r="H33" s="27" t="str">
        <x:v>果曾問否？</x:v>
      </x:c>
      <x:c r="I33" s="27" t="str">
        <x:v>老鼋追问托问寿数之事，说明未履行承诺也会变成最后风险。</x:v>
      </x:c>
      <x:c r="J33" s="27" t="str">
        <x:v>承诺/因果</x:v>
      </x:c>
      <x:c r="K33" s="27" t="str">
        <x:v>小承诺未闭环，也会成为大项目最后一难。</x:v>
      </x:c>
      <x:c r="L33" s="27" t="str">
        <x:v>https://zh.wikisource.org/wiki/西遊記/第099回</x:v>
      </x:c>
      <x:c r="M33" s="27" t="str">
        <x:v>已补证</x:v>
      </x:c>
    </x:row>
    <x:row r="34">
      <x:c r="A34" s="27" t="str">
        <x:v>V26-033</x:v>
      </x:c>
      <x:c r="B34" s="27" t="n">
        <x:v>81</x:v>
      </x:c>
      <x:c r="C34" s="27" t="str">
        <x:v>老黿濕經</x:v>
      </x:c>
      <x:c r="D34" s="27" t="str">
        <x:v>经卷受湿</x:v>
      </x:c>
      <x:c r="E34" s="27" t="str">
        <x:v>第99回</x:v>
      </x:c>
      <x:c r="F34" s="27" t="str">
        <x:v>九九數完魔剗盡 三三行滿道歸根</x:v>
      </x:c>
      <x:c r="G34" s="27" t="str">
        <x:v>成果风险</x:v>
      </x:c>
      <x:c r="H34" s="27" t="str">
        <x:v>經包、衣服、鞍轡俱濕</x:v>
      </x:c>
      <x:c r="I34" s="27" t="str">
        <x:v>成果已经取得，仍可能因运输、交付、保存环节受损。</x:v>
      </x:c>
      <x:c r="J34" s="27" t="str">
        <x:v>成果保护</x:v>
      </x:c>
      <x:c r="K34" s="27" t="str">
        <x:v>成果不是拿到就结束，还要保护、晾晒、修复、交付。</x:v>
      </x:c>
      <x:c r="L34" s="27" t="str">
        <x:v>https://zh.wikisource.org/wiki/西遊記/第099回</x:v>
      </x:c>
      <x:c r="M34" s="27" t="str">
        <x:v>已补证</x:v>
      </x:c>
    </x:row>
    <x:row r="35">
      <x:c r="A35" s="27" t="str">
        <x:v>V26-034</x:v>
      </x:c>
      <x:c r="B35" s="27" t="n">
        <x:v>81</x:v>
      </x:c>
      <x:c r="C35" s="27" t="str">
        <x:v>老黿濕經</x:v>
      </x:c>
      <x:c r="D35" s="27" t="str">
        <x:v>晒经石</x:v>
      </x:c>
      <x:c r="E35" s="27" t="str">
        <x:v>第99回</x:v>
      </x:c>
      <x:c r="F35" s="27" t="str">
        <x:v>九九數完魔剗盡 三三行滿道歸根</x:v>
      </x:c>
      <x:c r="G35" s="27" t="str">
        <x:v>遗迹证据</x:v>
      </x:c>
      <x:c r="H35" s="27" t="str">
        <x:v>曬經之石尚存</x:v>
      </x:c>
      <x:c r="I35" s="27" t="str">
        <x:v>晒经石把最后一难转化为可记忆的物证与文化遗迹。</x:v>
      </x:c>
      <x:c r="J35" s="27" t="str">
        <x:v>记忆/物证</x:v>
      </x:c>
      <x:c r="K35" s="27" t="str">
        <x:v>重要工程需要留下可追溯证据。</x:v>
      </x:c>
      <x:c r="L35" s="27" t="str">
        <x:v>https://zh.wikisource.org/wiki/西遊記/第099回</x:v>
      </x:c>
      <x:c r="M35" s="27" t="str">
        <x:v>已补证</x:v>
      </x:c>
    </x:row>
  </x:sheetData>
  <x:conditionalFormatting sqref="M2:M100">
    <x:cfRule type="expression" dxfId="7" priority="1">
      <x:formula>M2="已补证"</x:formula>
    </x:cfRule>
    <x:cfRule type="expression" dxfId="8" priority="2">
      <x:formula>M2="待复核短摘"</x:formula>
    </x:cfRule>
  </x:conditionalFormatting>
  <x:dataValidations count="1">
    <x:dataValidation type="list" sqref="M2:M100">
      <x:formula1>"已补证,待复核短摘,需纸本页码,待补"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c0889e481f461d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51.279998779296875" hidden="0" customWidth="1"/>
    <x:col min="2" max="2" width="17.6299991607666" hidden="0" customWidth="1"/>
    <x:col min="3" max="3" width="26.649999618530273" hidden="0" customWidth="1"/>
    <x:col min="4" max="4" width="31.489999771118164" hidden="0" customWidth="1"/>
    <x:col min="5" max="5" width="34" hidden="0" customWidth="1"/>
    <x:col min="6" max="6" width="34" hidden="0" customWidth="1"/>
    <x:col min="7" max="7" width="5.789999961853027" hidden="0" customWidth="1"/>
    <x:col min="8" max="8" width="34" hidden="0" customWidth="1"/>
  </x:cols>
  <x:sheetData>
    <x:row r="1" ht="26" customHeight="1">
      <x:c r="A1" s="219" t="str">
        <x:v>V2.6 专题写作索引：从摘录证据到文章初稿</x:v>
      </x:c>
    </x:row>
    <x:row r="3">
      <x:c r="A3" s="207" t="str">
        <x:v>专题编号</x:v>
      </x:c>
      <x:c r="B3" s="207" t="str">
        <x:v>专题题目</x:v>
      </x:c>
      <x:c r="C3" s="207" t="str">
        <x:v>核心难次</x:v>
      </x:c>
      <x:c r="D3" s="207" t="str">
        <x:v>证据条数</x:v>
      </x:c>
      <x:c r="E3" s="207" t="str">
        <x:v>主轴</x:v>
      </x:c>
      <x:c r="F3" s="207" t="str">
        <x:v>建议文章标题</x:v>
      </x:c>
      <x:c r="G3" s="207" t="str">
        <x:v>优先级</x:v>
      </x:c>
      <x:c r="H3" s="207" t="str">
        <x:v>写作动作</x:v>
      </x:c>
    </x:row>
    <x:row r="4">
      <x:c r="A4" s="27" t="str">
        <x:v>T26-01</x:v>
      </x:c>
      <x:c r="B4" s="27" t="str">
        <x:v>贬退心猿与专业误判</x:v>
      </x:c>
      <x:c r="C4" s="27" t="str">
        <x:v>20</x:v>
      </x:c>
      <x:c r="D4" s="27" t="n">
        <x:v>6</x:v>
      </x:c>
      <x:c r="E4" s="27" t="str">
        <x:v>白骨精—八戒唆嘴—唐僧误判—逐猴王</x:v>
      </x:c>
      <x:c r="F4" s="27" t="str">
        <x:v>《三打白骨精：专业判断为何输给表象与内部噪声》</x:v>
      </x:c>
      <x:c r="G4" s="27" t="str">
        <x:v>高</x:v>
      </x:c>
      <x:c r="H4" s="27" t="str">
        <x:v>先写3000字专题</x:v>
      </x:c>
    </x:row>
    <x:row r="5">
      <x:c r="A5" s="27" t="str">
        <x:v>T26-02</x:v>
      </x:c>
      <x:c r="B5" s="27" t="str">
        <x:v>二心与真假美猴王</x:v>
      </x:c>
      <x:c r="C5" s="27" t="str">
        <x:v>45-46</x:v>
      </x:c>
      <x:c r="D5" s="27" t="n">
        <x:v>6</x:v>
      </x:c>
      <x:c r="E5" s="27" t="str">
        <x:v>再贬心猿—真假复制—最高终裁</x:v>
      </x:c>
      <x:c r="F5" s="27" t="str">
        <x:v>《真假美猴王：最难降伏的是另一个自己》</x:v>
      </x:c>
      <x:c r="G5" s="27" t="str">
        <x:v>高</x:v>
      </x:c>
      <x:c r="H5" s="27" t="str">
        <x:v>先写5000字专题</x:v>
      </x:c>
    </x:row>
    <x:row r="6">
      <x:c r="A6" s="27" t="str">
        <x:v>T26-03</x:v>
      </x:c>
      <x:c r="B6" s="27" t="str">
        <x:v>假权威与小雷音寺</x:v>
      </x:c>
      <x:c r="C6" s="27" t="str">
        <x:v>53-54</x:v>
      </x:c>
      <x:c r="D6" s="27" t="n">
        <x:v>6</x:v>
      </x:c>
      <x:c r="E6" s="27" t="str">
        <x:v>小雷音—金铙—诸神困—弥勒收束</x:v>
      </x:c>
      <x:c r="F6" s="27" t="str">
        <x:v>《小雷音寺：假权威为何比妖怪更危险》</x:v>
      </x:c>
      <x:c r="G6" s="27" t="str">
        <x:v>高</x:v>
      </x:c>
      <x:c r="H6" s="27" t="str">
        <x:v>做图文专题</x:v>
      </x:c>
    </x:row>
    <x:row r="7">
      <x:c r="A7" s="27" t="str">
        <x:v>T26-04</x:v>
      </x:c>
      <x:c r="B7" s="27" t="str">
        <x:v>狮驼岭极端风险治理</x:v>
      </x:c>
      <x:c r="C7" s="27" t="str">
        <x:v>61-64</x:v>
      </x:c>
      <x:c r="D7" s="27" t="n">
        <x:v>7</x:v>
      </x:c>
      <x:c r="E7" s="27" t="str">
        <x:v>太白预警—三魔集团—狮驼国—如来收束</x:v>
      </x:c>
      <x:c r="F7" s="27" t="str">
        <x:v>《狮驼岭：全书最重的组织化妖怪风险》</x:v>
      </x:c>
      <x:c r="G7" s="27" t="str">
        <x:v>高</x:v>
      </x:c>
      <x:c r="H7" s="27" t="str">
        <x:v>做长文+图谱</x:v>
      </x:c>
    </x:row>
    <x:row r="8">
      <x:c r="A8" s="27" t="str">
        <x:v>T26-05</x:v>
      </x:c>
      <x:c r="B8" s="27" t="str">
        <x:v>收官三难与成果交付</x:v>
      </x:c>
      <x:c r="C8" s="27" t="str">
        <x:v>79-81</x:v>
      </x:c>
      <x:c r="D8" s="27" t="n">
        <x:v>9</x:v>
      </x:c>
      <x:c r="E8" s="27" t="str">
        <x:v>善缘滞留—凌云渡—还少一难—老鼋湿经</x:v>
      </x:c>
      <x:c r="F8" s="27" t="str">
        <x:v>《快到灵山时，为什么还会出事》</x:v>
      </x:c>
      <x:c r="G8" s="27" t="str">
        <x:v>中高</x:v>
      </x:c>
      <x:c r="H8" s="27" t="str">
        <x:v>做收官评论</x:v>
      </x:c>
    </x:row>
    <x:row r="10">
      <x:c r="A10" s="212" t="str">
        <x:v>下一版本</x:v>
      </x:c>
      <x:c r="B10" s="212" t="str">
        <x:v>建议目标</x:v>
      </x:c>
      <x:c r="C10" s="212" t="str">
        <x:v>交付形态</x:v>
      </x:c>
      <x:c r="D10" s="212" t="str">
        <x:v>所需数据</x:v>
      </x:c>
      <x:c r="E10" s="212" t="str">
        <x:v>优先顺序</x:v>
      </x:c>
      <x:c r="F10" s="212" t="str">
        <x:v>备注</x:v>
      </x:c>
    </x:row>
    <x:row r="11">
      <x:c r="A11" s="27" t="str">
        <x:v>V2.7</x:v>
      </x:c>
      <x:c r="B11" s="27" t="str">
        <x:v>专题文章首批四篇</x:v>
      </x:c>
      <x:c r="C11" s="27" t="str">
        <x:v>Markdown/公众号稿/HTML内嵌</x:v>
      </x:c>
      <x:c r="D11" s="27" t="str">
        <x:v>23_二次补证清单 + 13_专题摘录补强</x:v>
      </x:c>
      <x:c r="E11" s="27" t="str">
        <x:v>1</x:v>
      </x:c>
      <x:c r="F11" s="27" t="str">
        <x:v>先出文章，不再继续堆表</x:v>
      </x:c>
    </x:row>
    <x:row r="12">
      <x:c r="A12" s="27" t="str">
        <x:v>V2.8</x:v>
      </x:c>
      <x:c r="B12" s="27" t="str">
        <x:v>PWA专题阅读升级</x:v>
      </x:c>
      <x:c r="C12" s="27" t="str">
        <x:v>HTML/PWA</x:v>
      </x:c>
      <x:c r="D12" s="27" t="str">
        <x:v>专题索引 + 原文摘录 + 图谱数据</x:v>
      </x:c>
      <x:c r="E12" s="27" t="str">
        <x:v>2</x:v>
      </x:c>
      <x:c r="F12" s="27" t="str">
        <x:v>网页加入专题卡片</x:v>
      </x:c>
    </x:row>
    <x:row r="13">
      <x:c r="A13" s="27" t="str">
        <x:v>V2.9</x:v>
      </x:c>
      <x:c r="B13" s="27" t="str">
        <x:v>正式报告版</x:v>
      </x:c>
      <x:c r="C13" s="27" t="str">
        <x:v>PDF/Docx</x:v>
      </x:c>
      <x:c r="D13" s="27" t="str">
        <x:v>十题文章 + 数据底座说明</x:v>
      </x:c>
      <x:c r="E13" s="27" t="str">
        <x:v>3</x:v>
      </x:c>
      <x:c r="F13" s="27" t="str">
        <x:v>形成可发布研究报告</x:v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.400001525878906" hidden="0" customHeight="1">
      <x:c r="A1" s="240" t="str">
        <x:v>《再读西游》V3.0 校核版总控看板</x:v>
      </x:c>
      <x:c r="B1" s="240"/>
      <x:c r="C1" s="240"/>
      <x:c r="D1" s="240"/>
      <x:c r="E1" s="240"/>
      <x:c r="F1" s="240"/>
      <x:c r="G1" s="240"/>
      <x:c r="H1" s="240"/>
    </x:row>
    <x:row r="2" ht="52.79999923706055" hidden="0" customHeight="1">
      <x:c r="A2" s="241" t="str">
        <x:v>版本目标</x:v>
      </x:c>
      <x:c r="B2" s="241" t="str">
        <x:v>不新增功能，重点统一口径、校核证据、规范引用、形成发布前质量门禁。</x:v>
      </x:c>
      <x:c r="C2" s="241" t="str"/>
      <x:c r="D2" s="241" t="str"/>
      <x:c r="E2" s="241" t="str"/>
      <x:c r="F2" s="241" t="str"/>
      <x:c r="G2" s="241" t="str"/>
      <x:c r="H2" s="241" t="str"/>
    </x:row>
    <x:row r="3" ht="15" hidden="0" customHeight="1">
      <x:c r="A3" s="24"/>
      <x:c r="B3" s="24"/>
      <x:c r="C3" s="24"/>
      <x:c r="D3" s="24"/>
      <x:c r="E3" s="24"/>
      <x:c r="F3" s="24"/>
      <x:c r="G3" s="24"/>
      <x:c r="H3" s="24"/>
    </x:row>
    <x:row r="4" ht="15" hidden="0" customHeight="1">
      <x:c r="A4" s="242" t="str">
        <x:v>核心指标</x:v>
      </x:c>
      <x:c r="B4" s="242" t="str">
        <x:v>公式/数值</x:v>
      </x:c>
      <x:c r="C4" s="242" t="str">
        <x:v>目标</x:v>
      </x:c>
      <x:c r="D4" s="242" t="str">
        <x:v>当前判断</x:v>
      </x:c>
      <x:c r="E4" s="242" t="str">
        <x:v>负责人/动作</x:v>
      </x:c>
      <x:c r="F4" s="242" t="str">
        <x:v>优先级</x:v>
      </x:c>
      <x:c r="G4" s="242" t="str">
        <x:v>状态</x:v>
      </x:c>
      <x:c r="H4" s="242" t="str">
        <x:v>备注</x:v>
      </x:c>
    </x:row>
    <x:row r="5" ht="26.399999618530273" hidden="0" customHeight="1">
      <x:c r="A5" s="24" t="str">
        <x:v>百回主题覆盖</x:v>
      </x:c>
      <x:c r="B5" s="24" t="n">
        <x:f>COUNTA('01_百回主题表'!A2:A101)</x:f>
        <x:v>100</x:v>
      </x:c>
      <x:c r="C5" s="24" t="n">
        <x:v>100</x:v>
      </x:c>
      <x:c r="D5" s="24" t="str">
        <x:v>应为100回全覆盖</x:v>
      </x:c>
      <x:c r="E5" s="24" t="str">
        <x:v>抽查回目与摘要一致性</x:v>
      </x:c>
      <x:c r="F5" s="24" t="str">
        <x:v>高</x:v>
      </x:c>
      <x:c r="G5" s="24" t="str">
        <x:v>待复核</x:v>
      </x:c>
      <x:c r="H5" s="24" t="str">
        <x:v>以维基文库总目和纸质校注本对照</x:v>
      </x:c>
    </x:row>
    <x:row r="6" ht="26.399999618530273" hidden="0" customHeight="1">
      <x:c r="A6" s="24" t="str">
        <x:v>八十一难校注覆盖</x:v>
      </x:c>
      <x:c r="B6" s="24" t="n">
        <x:f>COUNTA('20_八十一难正式校注'!A2:A82)</x:f>
        <x:v>81</x:v>
      </x:c>
      <x:c r="C6" s="24" t="n">
        <x:v>81</x:v>
      </x:c>
      <x:c r="D6" s="24" t="str">
        <x:v>应为81难全覆盖</x:v>
      </x:c>
      <x:c r="E6" s="24" t="str">
        <x:v>核对第99回难簿与对应回目</x:v>
      </x:c>
      <x:c r="F6" s="24" t="str">
        <x:v>高</x:v>
      </x:c>
      <x:c r="G6" s="24" t="str">
        <x:v>待复核</x:v>
      </x:c>
      <x:c r="H6" s="24" t="str">
        <x:v>第99回为主证据</x:v>
      </x:c>
    </x:row>
    <x:row r="7" ht="26.399999618530273" hidden="0" customHeight="1">
      <x:c r="A7" s="24" t="str">
        <x:v>原文摘录总量</x:v>
      </x:c>
      <x:c r="B7" s="24" t="n">
        <x:f>COUNTA('11_原文摘录表'!A2:A500)</x:f>
        <x:v>98</x:v>
      </x:c>
      <x:c r="C7" s="24" t="str">
        <x:v>≥100</x:v>
      </x:c>
      <x:c r="D7" s="24" t="str">
        <x:v>摘录越多越利于写作，但需短摘</x:v>
      </x:c>
      <x:c r="E7" s="24" t="str">
        <x:v>逐条控制引用长度</x:v>
      </x:c>
      <x:c r="F7" s="24" t="str">
        <x:v>高</x:v>
      </x:c>
      <x:c r="G7" s="24" t="str">
        <x:v>进行中</x:v>
      </x:c>
      <x:c r="H7" s="24" t="str">
        <x:v>避免大段搬运原文</x:v>
      </x:c>
    </x:row>
    <x:row r="8" ht="26.399999618530273" hidden="0" customHeight="1">
      <x:c r="A8" s="24" t="str">
        <x:v>已核摘录数量</x:v>
      </x:c>
      <x:c r="B8" s="24" t="n">
        <x:f>COUNTIF('11_原文摘录表'!G:G,"已核")+COUNTIF('11_原文摘录表'!G:G,"已补证")</x:f>
        <x:v>61</x:v>
      </x:c>
      <x:c r="C8" s="24" t="str">
        <x:v>持续增加</x:v>
      </x:c>
      <x:c r="D8" s="24" t="str">
        <x:v>正式发布前优先核首批文章证据</x:v>
      </x:c>
      <x:c r="E8" s="24" t="str">
        <x:v>标记证据等级</x:v>
      </x:c>
      <x:c r="F8" s="24" t="str">
        <x:v>高</x:v>
      </x:c>
      <x:c r="G8" s="24" t="str">
        <x:v>进行中</x:v>
      </x:c>
      <x:c r="H8" s="24" t="str"/>
    </x:row>
    <x:row r="9" ht="15" hidden="0" customHeight="1">
      <x:c r="A9" s="24" t="str">
        <x:v>人物关系边数量</x:v>
      </x:c>
      <x:c r="B9" s="24" t="n">
        <x:f>COUNTA('05_人物关系表'!A2:A300)</x:f>
        <x:v>172</x:v>
      </x:c>
      <x:c r="C9" s="24" t="str">
        <x:v>≥150</x:v>
      </x:c>
      <x:c r="D9" s="24" t="str">
        <x:v>足以支撑图谱展示</x:v>
      </x:c>
      <x:c r="E9" s="24" t="str">
        <x:v>统一人物命名</x:v>
      </x:c>
      <x:c r="F9" s="24" t="str">
        <x:v>中</x:v>
      </x:c>
      <x:c r="G9" s="24" t="str">
        <x:v>待复核</x:v>
      </x:c>
      <x:c r="H9" s="24" t="str"/>
    </x:row>
    <x:row r="10" ht="26.399999618530273" hidden="0" customHeight="1">
      <x:c r="A10" s="24" t="str">
        <x:v>后台风险样本</x:v>
      </x:c>
      <x:c r="B10" s="24" t="n">
        <x:f>COUNTA('08_后台妖怪表'!A2:A100)</x:f>
        <x:v>39</x:v>
      </x:c>
      <x:c r="C10" s="24" t="str">
        <x:v>≥35</x:v>
      </x:c>
      <x:c r="D10" s="24" t="str">
        <x:v>已形成样本库</x:v>
      </x:c>
      <x:c r="E10" s="24" t="str">
        <x:v>统一后台类型与收束层级</x:v>
      </x:c>
      <x:c r="F10" s="24" t="str">
        <x:v>中</x:v>
      </x:c>
      <x:c r="G10" s="24" t="str">
        <x:v>待复核</x:v>
      </x:c>
      <x:c r="H10" s="24" t="str"/>
    </x:row>
    <x:row r="11" ht="15" hidden="0" customHeight="1">
      <x:c r="A11" s="24" t="str">
        <x:v>专题文章母稿</x:v>
      </x:c>
      <x:c r="B11" s="24" t="n">
        <x:f>COUNTA('24_V2.6专题索引'!A4:A20)</x:f>
        <x:v>9</x:v>
      </x:c>
      <x:c r="C11" s="24" t="str">
        <x:v>≥4</x:v>
      </x:c>
      <x:c r="D11" s="24" t="str">
        <x:v>先打磨4—6篇</x:v>
      </x:c>
      <x:c r="E11" s="24" t="str">
        <x:v>补证据、压缩口径</x:v>
      </x:c>
      <x:c r="F11" s="24" t="str">
        <x:v>高</x:v>
      </x:c>
      <x:c r="G11" s="24" t="str">
        <x:v>待打磨</x:v>
      </x:c>
      <x:c r="H11" s="24" t="str"/>
    </x:row>
    <x:row r="12" ht="15" hidden="0" customHeight="1">
      <x:c r="A12" s="24" t="str">
        <x:v>发布风险项</x:v>
      </x:c>
      <x:c r="B12" s="24" t="n">
        <x:f>COUNTIF('29_待复核问题清单'!G:G,"高")</x:f>
        <x:v>3</x:v>
      </x:c>
      <x:c r="C12" s="24" t="str">
        <x:v>逐项关闭</x:v>
      </x:c>
      <x:c r="D12" s="24" t="str">
        <x:v>高风险项发布前不得遗留</x:v>
      </x:c>
      <x:c r="E12" s="24" t="str">
        <x:v>逐条关闭</x:v>
      </x:c>
      <x:c r="F12" s="24" t="str">
        <x:v>高</x:v>
      </x:c>
      <x:c r="G12" s="24" t="str">
        <x:v>待处理</x:v>
      </x:c>
      <x:c r="H12" s="24" t="str"/>
    </x:row>
    <x:row r="13" ht="15" hidden="0" customHeight="1">
      <x:c r="A13" s="24"/>
      <x:c r="B13" s="24"/>
      <x:c r="C13" s="24"/>
      <x:c r="D13" s="24"/>
      <x:c r="E13" s="24"/>
      <x:c r="F13" s="24"/>
      <x:c r="G13" s="24"/>
      <x:c r="H13" s="24"/>
    </x:row>
    <x:row r="14" ht="15" hidden="0" customHeight="1">
      <x:c r="A14" s="242" t="str">
        <x:v>V3.0质量门禁</x:v>
      </x:c>
      <x:c r="B14" s="242" t="str">
        <x:v>通过标准</x:v>
      </x:c>
      <x:c r="C14" s="242" t="str">
        <x:v>检查方式</x:v>
      </x:c>
      <x:c r="D14" s="242" t="str">
        <x:v>当前状态</x:v>
      </x:c>
      <x:c r="E14" s="242" t="str">
        <x:v>说明</x:v>
      </x:c>
      <x:c r="F14" s="242" t="str"/>
      <x:c r="G14" s="242" t="str"/>
      <x:c r="H14" s="242" t="str"/>
    </x:row>
    <x:row r="15" ht="39.599998474121094" hidden="0" customHeight="1">
      <x:c r="A15" s="24" t="str">
        <x:v>底本说明</x:v>
      </x:c>
      <x:c r="B15" s="24" t="str">
        <x:v>明确维基文库为检索底本，正式引用建议对照纸质校注本</x:v>
      </x:c>
      <x:c r="C15" s="24" t="str">
        <x:v>查资料与声明页</x:v>
      </x:c>
      <x:c r="D15" s="24" t="str">
        <x:v>待确认</x:v>
      </x:c>
      <x:c r="E15" s="24" t="str">
        <x:v>不能把维基文库当唯一权威校本</x:v>
      </x:c>
      <x:c r="F15" s="24" t="str"/>
      <x:c r="G15" s="24" t="str"/>
      <x:c r="H15" s="24" t="str"/>
    </x:row>
    <x:row r="16" ht="26.399999618530273" hidden="0" customHeight="1">
      <x:c r="A16" s="24" t="str">
        <x:v>作者说明</x:v>
      </x:c>
      <x:c r="B16" s="24" t="str">
        <x:v>采用通行吴承恩说，同时注明作者有争议</x:v>
      </x:c>
      <x:c r="C16" s="24" t="str">
        <x:v>查首页/报告说明</x:v>
      </x:c>
      <x:c r="D16" s="24" t="str">
        <x:v>待确认</x:v>
      </x:c>
      <x:c r="E16" s="24" t="str">
        <x:v>维基文库条目即标注“吴承恩（有争议）”</x:v>
      </x:c>
      <x:c r="F16" s="24" t="str"/>
      <x:c r="G16" s="24" t="str"/>
      <x:c r="H16" s="24" t="str"/>
    </x:row>
    <x:row r="17" ht="26.399999618530273" hidden="0" customHeight="1">
      <x:c r="A17" s="24" t="str">
        <x:v>八十一难</x:v>
      </x:c>
      <x:c r="B17" s="24" t="str">
        <x:v>81条均有第99回难簿依据或补足说明</x:v>
      </x:c>
      <x:c r="C17" s="24" t="str">
        <x:v>查20表+第99回</x:v>
      </x:c>
      <x:c r="D17" s="24" t="str">
        <x:v>进行中</x:v>
      </x:c>
      <x:c r="E17" s="24" t="str">
        <x:v>第81难需说明老鼋湿经补足九九归真</x:v>
      </x:c>
      <x:c r="F17" s="24" t="str"/>
      <x:c r="G17" s="24" t="str"/>
      <x:c r="H17" s="24" t="str"/>
    </x:row>
    <x:row r="18" ht="26.399999618530273" hidden="0" customHeight="1">
      <x:c r="A18" s="24" t="str">
        <x:v>引用规范</x:v>
      </x:c>
      <x:c r="B18" s="24" t="str">
        <x:v>每条摘录短、准、有来源，不堆原文</x:v>
      </x:c>
      <x:c r="C18" s="24" t="str">
        <x:v>抽查11/23表</x:v>
      </x:c>
      <x:c r="D18" s="24" t="str">
        <x:v>进行中</x:v>
      </x:c>
      <x:c r="E18" s="24" t="str">
        <x:v>面向发布应以评论分析为主</x:v>
      </x:c>
      <x:c r="F18" s="24" t="str"/>
      <x:c r="G18" s="24" t="str"/>
      <x:c r="H18" s="24" t="str"/>
    </x:row>
    <x:row r="19" ht="26.399999618530273" hidden="0" customHeight="1">
      <x:c r="A19" s="24" t="str">
        <x:v>主题标签</x:v>
      </x:c>
      <x:c r="B19" s="24" t="str">
        <x:v>人物、妖怪、后台、法宝等名称统一</x:v>
      </x:c>
      <x:c r="C19" s="24" t="str">
        <x:v>查26表</x:v>
      </x:c>
      <x:c r="D19" s="24" t="str">
        <x:v>待复核</x:v>
      </x:c>
      <x:c r="E19" s="24" t="str">
        <x:v>发布前做名称字典</x:v>
      </x:c>
      <x:c r="F19" s="24" t="str"/>
      <x:c r="G19" s="24" t="str"/>
      <x:c r="H19" s="24" t="str"/>
    </x:row>
    <x:row r="20" ht="39.599998474121094" hidden="0" customHeight="1">
      <x:c r="A20" s="24" t="str">
        <x:v>产品边界</x:v>
      </x:c>
      <x:c r="B20" s="24" t="str">
        <x:v>V5.0定为工作台成果包，不再无限加功能</x:v>
      </x:c>
      <x:c r="C20" s="24" t="str">
        <x:v>查30表</x:v>
      </x:c>
      <x:c r="D20" s="24" t="str">
        <x:v>已确定</x:v>
      </x:c>
      <x:c r="E20" s="24" t="str">
        <x:v>HTML/PWA + Excel + PDF + 公众号稿 + 方法模板</x:v>
      </x:c>
      <x:c r="F20" s="24" t="str"/>
      <x:c r="G20" s="24" t="str"/>
      <x:c r="H20" s="24" t="str"/>
    </x:row>
    <x:row r="21" ht="15" hidden="0" customHeight="1">
      <x:c r="A21" s="24"/>
      <x:c r="B21" s="24"/>
      <x:c r="C21" s="24"/>
      <x:c r="D21" s="24"/>
      <x:c r="E21" s="24"/>
      <x:c r="F21" s="24"/>
      <x:c r="G21" s="24"/>
      <x:c r="H21" s="24"/>
    </x:row>
    <x:row r="22" ht="15" hidden="0" customHeight="1">
      <x:c r="A22" s="242" t="str">
        <x:v>主要来源</x:v>
      </x:c>
      <x:c r="B22" s="242" t="str">
        <x:v>用途</x:v>
      </x:c>
      <x:c r="C22" s="242" t="str">
        <x:v>发布表述建议</x:v>
      </x:c>
      <x:c r="D22" s="242" t="str">
        <x:v>URL</x:v>
      </x:c>
      <x:c r="E22" s="242" t="str">
        <x:v>校核级别</x:v>
      </x:c>
      <x:c r="F22" s="242" t="str">
        <x:v>备注</x:v>
      </x:c>
      <x:c r="G22" s="242" t="str"/>
      <x:c r="H22" s="242" t="str"/>
    </x:row>
    <x:row r="23" ht="39.599998474121094" hidden="0" customHeight="1">
      <x:c r="A23" s="24" t="str">
        <x:v>维基文库《西游记》总目</x:v>
      </x:c>
      <x:c r="B23" s="24" t="str">
        <x:v>百回目录、回目校对、检索底本</x:v>
      </x:c>
      <x:c r="C23" s="24" t="str">
        <x:v>作为可检索底本，不替代纸质校注本</x:v>
      </x:c>
      <x:c r="D23" s="24" t="str">
        <x:v>https://zh.wikisource.org/wiki/%E8%A5%BF%E9%81%8A%E8%A8%98</x:v>
      </x:c>
      <x:c r="E23" s="24" t="str">
        <x:v>一级网络底本</x:v>
      </x:c>
      <x:c r="F23" s="24" t="str">
        <x:v>页面标注全书20卷100回，作者吴承恩有争议</x:v>
      </x:c>
      <x:c r="G23" s="24" t="str"/>
      <x:c r="H23" s="24" t="str"/>
    </x:row>
    <x:row r="24" ht="52.79999923706055" hidden="0" customHeight="1">
      <x:c r="A24" s="24" t="str">
        <x:v>维基文库第99回</x:v>
      </x:c>
      <x:c r="B24" s="24" t="str">
        <x:v>八十一难难簿主证据</x:v>
      </x:c>
      <x:c r="C24" s="24" t="str">
        <x:v>作为八十一难校核主轴</x:v>
      </x:c>
      <x:c r="D24" s="24" t="str">
        <x:v>https://zh.wikisource.org/wiki/%E8%A5%BF%E9%81%8A%E8%A8%98/%E7%AC%AC099%E5%9B%9E</x:v>
      </x:c>
      <x:c r="E24" s="24" t="str">
        <x:v>一级网络底本</x:v>
      </x:c>
      <x:c r="F24" s="24" t="str">
        <x:v>用于核对前80难与“还少一难”逻辑</x:v>
      </x:c>
      <x:c r="G24" s="24" t="str"/>
      <x:c r="H24" s="24" t="str"/>
    </x:row>
    <x:row r="25" ht="26.399999618530273" hidden="0" customHeight="1">
      <x:c r="A25" s="24" t="str">
        <x:v>通行纸质校注本</x:v>
      </x:c>
      <x:c r="B25" s="24" t="str">
        <x:v>正式引用、异文、标点、注释</x:v>
      </x:c>
      <x:c r="C25" s="24" t="str">
        <x:v>正式发布前建议人工对校</x:v>
      </x:c>
      <x:c r="D25" s="24" t="str">
        <x:v>待补录</x:v>
      </x:c>
      <x:c r="E25" s="24" t="str">
        <x:v>二级正式校本</x:v>
      </x:c>
      <x:c r="F25" s="24" t="str">
        <x:v>可选人民文学、中华书局、上海古籍等</x:v>
      </x:c>
      <x:c r="G25" s="24" t="str"/>
      <x:c r="H25" s="24" t="str"/>
    </x:row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H1"/>
  </x:mergeCells>
  <x:conditionalFormatting sqref="G5:G20">
    <x:cfRule type="expression" dxfId="9" priority="1">
      <x:formula>OR(G5="待复核",G5="待处理",G5="待打磨")</x:formula>
    </x:cfRule>
    <x:cfRule type="expression" dxfId="10" priority="2">
      <x:formula>OR(G5="进行中",G5="待确认")</x:formula>
    </x:cfRule>
    <x:cfRule type="expression" dxfId="11" priority="3">
      <x:formula>OR(G5="已确定",G5="已完成")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0" hidden="0" customWidth="1"/>
    <x:col min="5" max="5" width="18" hidden="0" customWidth="1"/>
    <x:col min="6" max="6" width="30" hidden="0" customWidth="1"/>
    <x:col min="7" max="7" width="28" hidden="0" customWidth="1"/>
    <x:col min="8" max="8" width="12" hidden="0" customWidth="1"/>
  </x:cols>
  <x:sheetData>
    <x:row r="1" ht="57.599998474121094" hidden="0" customHeight="1">
      <x:c r="A1" s="240" t="str">
        <x:v>《再读西游》V3.0 口径统一表</x:v>
      </x:c>
      <x:c r="B1" s="240"/>
      <x:c r="C1" s="240"/>
      <x:c r="D1" s="240"/>
      <x:c r="E1" s="240"/>
      <x:c r="F1" s="240"/>
      <x:c r="G1" s="240"/>
      <x:c r="H1" s="240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</x:row>
    <x:row r="3" ht="15" hidden="0" customHeight="1">
      <x:c r="A3" s="242" t="str">
        <x:v>类别</x:v>
      </x:c>
      <x:c r="B3" s="242" t="str">
        <x:v>推荐统一写法</x:v>
      </x:c>
      <x:c r="C3" s="242" t="str">
        <x:v>可接受别名/异称</x:v>
      </x:c>
      <x:c r="D3" s="242" t="str">
        <x:v>不建议写法</x:v>
      </x:c>
      <x:c r="E3" s="242" t="str">
        <x:v>适用范围</x:v>
      </x:c>
      <x:c r="F3" s="242" t="str">
        <x:v>校核规则</x:v>
      </x:c>
      <x:c r="G3" s="242" t="str">
        <x:v>发布备注</x:v>
      </x:c>
      <x:c r="H3" s="242" t="str">
        <x:v>状态</x:v>
      </x:c>
    </x:row>
    <x:row r="4" ht="26.399999618530273" hidden="0" customHeight="1">
      <x:c r="A4" s="24" t="str">
        <x:v>项目名</x:v>
      </x:c>
      <x:c r="B4" s="24" t="str">
        <x:v>《再读西游》</x:v>
      </x:c>
      <x:c r="C4" s="24" t="str">
        <x:v>AI辅助再读西游、西游深读工作台</x:v>
      </x:c>
      <x:c r="D4" s="24" t="str">
        <x:v>退休前后再读西游</x:v>
      </x:c>
      <x:c r="E4" s="24" t="str">
        <x:v>公开发布标题</x:v>
      </x:c>
      <x:c r="F4" s="24" t="str">
        <x:v>统一用《再读西游》，不突出个人人生阶段</x:v>
      </x:c>
      <x:c r="G4" s="24" t="str">
        <x:v>保留个人化洞见，但标题更通用</x:v>
      </x:c>
      <x:c r="H4" s="24" t="str">
        <x:v>已定</x:v>
      </x:c>
    </x:row>
    <x:row r="5" ht="26.399999618530273" hidden="0" customHeight="1">
      <x:c r="A5" s="24" t="str">
        <x:v>底本</x:v>
      </x:c>
      <x:c r="B5" s="24" t="str">
        <x:v>维基文库百回本</x:v>
      </x:c>
      <x:c r="C5" s="24" t="str">
        <x:v>维基文库《西游记》</x:v>
      </x:c>
      <x:c r="D5" s="24" t="str">
        <x:v>网络版原著唯一权威</x:v>
      </x:c>
      <x:c r="E5" s="24" t="str">
        <x:v>底本说明</x:v>
      </x:c>
      <x:c r="F5" s="24" t="str">
        <x:v>作为检索底本；正式引用对照纸质校注本</x:v>
      </x:c>
      <x:c r="G5" s="24" t="str">
        <x:v>须写明校核边界</x:v>
      </x:c>
      <x:c r="H5" s="24" t="str">
        <x:v>待确认</x:v>
      </x:c>
    </x:row>
    <x:row r="6" ht="26.399999618530273" hidden="0" customHeight="1">
      <x:c r="A6" s="24" t="str">
        <x:v>作者</x:v>
      </x:c>
      <x:c r="B6" s="24" t="str">
        <x:v>吴承恩（通行说，作者问题有争议）</x:v>
      </x:c>
      <x:c r="C6" s="24" t="str">
        <x:v>吴承恩说</x:v>
      </x:c>
      <x:c r="D6" s="24" t="str">
        <x:v>吴承恩唯一确定作者</x:v>
      </x:c>
      <x:c r="E6" s="24" t="str">
        <x:v>作者说明</x:v>
      </x:c>
      <x:c r="F6" s="24" t="str">
        <x:v>遵循通行说，同时注明争议</x:v>
      </x:c>
      <x:c r="G6" s="24" t="str">
        <x:v>维基文库总目亦标“有争议”</x:v>
      </x:c>
      <x:c r="H6" s="24" t="str">
        <x:v>已定</x:v>
      </x:c>
    </x:row>
    <x:row r="7" ht="15" hidden="0" customHeight="1">
      <x:c r="A7" s="24" t="str">
        <x:v>全书规模</x:v>
      </x:c>
      <x:c r="B7" s="24" t="str">
        <x:v>20卷100回</x:v>
      </x:c>
      <x:c r="C7" s="24" t="str">
        <x:v>百回本</x:v>
      </x:c>
      <x:c r="D7" s="24" t="str">
        <x:v>全书只有100章</x:v>
      </x:c>
      <x:c r="E7" s="24" t="str">
        <x:v>版本说明</x:v>
      </x:c>
      <x:c r="F7" s="24" t="str">
        <x:v>统一称100回，不称100章</x:v>
      </x:c>
      <x:c r="G7" s="24" t="str">
        <x:v>章回小说用“回”</x:v>
      </x:c>
      <x:c r="H7" s="24" t="str">
        <x:v>已定</x:v>
      </x:c>
    </x:row>
    <x:row r="8" ht="26.399999618530273" hidden="0" customHeight="1">
      <x:c r="A8" s="24" t="str">
        <x:v>八十一难</x:v>
      </x:c>
      <x:c r="B8" s="24" t="str">
        <x:v>第99回难簿所列前80难 + 老鼋湿经补足一难</x:v>
      </x:c>
      <x:c r="C8" s="24" t="str">
        <x:v>九九八十一难</x:v>
      </x:c>
      <x:c r="D8" s="24" t="str">
        <x:v>自行归纳81个故事</x:v>
      </x:c>
      <x:c r="E8" s="24" t="str">
        <x:v>八十一难表</x:v>
      </x:c>
      <x:c r="F8" s="24" t="str">
        <x:v>难名以第99回为主证据，现代释名另列</x:v>
      </x:c>
      <x:c r="G8" s="24" t="str">
        <x:v>必须区分原文难名与现代释名</x:v>
      </x:c>
      <x:c r="H8" s="24" t="str">
        <x:v>待复核</x:v>
      </x:c>
    </x:row>
    <x:row r="9" ht="26.399999618530273" hidden="0" customHeight="1">
      <x:c r="A9" s="24" t="str">
        <x:v>孙悟空</x:v>
      </x:c>
      <x:c r="B9" s="24" t="str">
        <x:v>孙悟空/悟空/行者/心猿</x:v>
      </x:c>
      <x:c r="C9" s="24" t="str">
        <x:v>美猴王、齐天大圣</x:v>
      </x:c>
      <x:c r="D9" s="24" t="str">
        <x:v>猴子</x:v>
      </x:c>
      <x:c r="E9" s="24" t="str">
        <x:v>人物与专题</x:v>
      </x:c>
      <x:c r="F9" s="24" t="str">
        <x:v>专题分析可用“心猿”，人物表统一孙悟空</x:v>
      </x:c>
      <x:c r="G9" s="24" t="str">
        <x:v>不要把象征义当事实身份</x:v>
      </x:c>
      <x:c r="H9" s="24" t="str">
        <x:v>已定</x:v>
      </x:c>
    </x:row>
    <x:row r="10" ht="26.399999618530273" hidden="0" customHeight="1">
      <x:c r="A10" s="24" t="str">
        <x:v>唐僧</x:v>
      </x:c>
      <x:c r="B10" s="24" t="str">
        <x:v>唐僧/玄奘/三藏</x:v>
      </x:c>
      <x:c r="C10" s="24" t="str">
        <x:v>圣僧</x:v>
      </x:c>
      <x:c r="D10" s="24" t="str">
        <x:v>领导者唯一正确</x:v>
      </x:c>
      <x:c r="E10" s="24" t="str">
        <x:v>人物与专题</x:v>
      </x:c>
      <x:c r="F10" s="24" t="str">
        <x:v>依据语境选称；管理解读不得替代文本事实</x:v>
      </x:c>
      <x:c r="G10" s="24" t="str">
        <x:v>注意避免现代管理过度套用</x:v>
      </x:c>
      <x:c r="H10" s="24" t="str">
        <x:v>已定</x:v>
      </x:c>
    </x:row>
    <x:row r="11" ht="26.399999618530273" hidden="0" customHeight="1">
      <x:c r="A11" s="24" t="str">
        <x:v>猪八戒</x:v>
      </x:c>
      <x:c r="B11" s="24" t="str">
        <x:v>猪八戒/八戒/悟能/木母</x:v>
      </x:c>
      <x:c r="C11" s="24" t="str">
        <x:v>天蓬元帅</x:v>
      </x:c>
      <x:c r="D11" s="24" t="str">
        <x:v>丑角</x:v>
      </x:c>
      <x:c r="E11" s="24" t="str">
        <x:v>人物与专题</x:v>
      </x:c>
      <x:c r="F11" s="24" t="str">
        <x:v>人物表统一猪八戒，象征分析注明解释属性</x:v>
      </x:c>
      <x:c r="G11" s="24" t="str">
        <x:v>突出人性复杂性</x:v>
      </x:c>
      <x:c r="H11" s="24" t="str">
        <x:v>已定</x:v>
      </x:c>
    </x:row>
    <x:row r="12" ht="26.399999618530273" hidden="0" customHeight="1">
      <x:c r="A12" s="24" t="str">
        <x:v>沙僧</x:v>
      </x:c>
      <x:c r="B12" s="24" t="str">
        <x:v>沙僧/沙悟净/悟净</x:v>
      </x:c>
      <x:c r="C12" s="24" t="str">
        <x:v>沙和尚</x:v>
      </x:c>
      <x:c r="D12" s="24" t="str">
        <x:v>工具人</x:v>
      </x:c>
      <x:c r="E12" s="24" t="str">
        <x:v>人物与专题</x:v>
      </x:c>
      <x:c r="F12" s="24" t="str">
        <x:v>人物表统一沙悟净，通俗文章可用沙僧</x:v>
      </x:c>
      <x:c r="G12" s="24" t="str">
        <x:v>沉默承载者为解读，不作原文事实</x:v>
      </x:c>
      <x:c r="H12" s="24" t="str">
        <x:v>已定</x:v>
      </x:c>
    </x:row>
    <x:row r="13" ht="26.399999618530273" hidden="0" customHeight="1">
      <x:c r="A13" s="24" t="str">
        <x:v>妖怪后台</x:v>
      </x:c>
      <x:c r="B13" s="24" t="str">
        <x:v>后台/来源/归属/收束者</x:v>
      </x:c>
      <x:c r="C13" s="24" t="str">
        <x:v>坐骑、童子、亲属、法宝外溢</x:v>
      </x:c>
      <x:c r="D13" s="24" t="str">
        <x:v>保护伞绝对化</x:v>
      </x:c>
      <x:c r="E13" s="24" t="str">
        <x:v>后台妖怪表</x:v>
      </x:c>
      <x:c r="F13" s="24" t="str">
        <x:v>先写文本归属，再做现代解释</x:v>
      </x:c>
      <x:c r="G13" s="24" t="str">
        <x:v>避免直接套现实政治词汇</x:v>
      </x:c>
      <x:c r="H13" s="24" t="str">
        <x:v>待复核</x:v>
      </x:c>
    </x:row>
    <x:row r="14" ht="26.399999618530273" hidden="0" customHeight="1">
      <x:c r="A14" s="24" t="str">
        <x:v>法宝</x:v>
      </x:c>
      <x:c r="B14" s="24" t="str">
        <x:v>法宝/能力/非器物型机制</x:v>
      </x:c>
      <x:c r="C14" s="24" t="str">
        <x:v>金刚琢、人种袋、紫金铃等</x:v>
      </x:c>
      <x:c r="D14" s="24" t="str">
        <x:v>武器全部叫法宝</x:v>
      </x:c>
      <x:c r="E14" s="24" t="str">
        <x:v>法宝表</x:v>
      </x:c>
      <x:c r="F14" s="24" t="str">
        <x:v>器物与机制分列</x:v>
      </x:c>
      <x:c r="G14" s="24" t="str">
        <x:v>非器物型能力要注明研究归纳</x:v>
      </x:c>
      <x:c r="H14" s="24" t="str">
        <x:v>待复核</x:v>
      </x:c>
    </x:row>
    <x:row r="15" ht="26.399999618530273" hidden="0" customHeight="1">
      <x:c r="A15" s="24" t="str">
        <x:v>AI定位</x:v>
      </x:c>
      <x:c r="B15" s="24" t="str">
        <x:v>AI辅助研究</x:v>
      </x:c>
      <x:c r="C15" s="24" t="str">
        <x:v>AI辅助古典名著深读</x:v>
      </x:c>
      <x:c r="D15" s="24" t="str">
        <x:v>AI替代考据</x:v>
      </x:c>
      <x:c r="E15" s="24" t="str">
        <x:v>方法说明</x:v>
      </x:c>
      <x:c r="F15" s="24" t="str">
        <x:v>AI用于整理、抽取、图谱、写作初稿；人工校核负责</x:v>
      </x:c>
      <x:c r="G15" s="24" t="str">
        <x:v>发布版必须保留声明</x:v>
      </x:c>
      <x:c r="H15" s="24" t="str">
        <x:v>已定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H1"/>
  </x:mergeCells>
  <x:conditionalFormatting sqref="H4:H100">
    <x:cfRule type="expression" dxfId="12" priority="1">
      <x:formula>H4="待复核"</x:formula>
    </x:cfRule>
    <x:cfRule type="expression" dxfId="13" priority="2">
      <x:formula>H4="需删改"</x:formula>
    </x:cfRule>
    <x:cfRule type="expression" dxfId="14" priority="3">
      <x:formula>H4="已定"</x:formula>
    </x:cfRule>
  </x:conditionalFormatting>
  <x:dataValidations count="1">
    <x:dataValidation type="list" sqref="H4:H100">
      <x:formula1>"已定,待确认,待复核,需删改"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92df994534d5e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34" hidden="0" customWidth="1"/>
    <x:col min="5" max="5" width="12" hidden="0" customWidth="1"/>
    <x:col min="6" max="6" width="16" hidden="0" customWidth="1"/>
    <x:col min="7" max="7" width="22" hidden="0" customWidth="1"/>
    <x:col min="8" max="8" width="12" hidden="0" customWidth="1"/>
  </x:cols>
  <x:sheetData>
    <x:row r="1" ht="76.80000305175781" hidden="0" customHeight="1">
      <x:c r="A1" s="240" t="str">
        <x:v>《再读西游》V3.0 原文引用与证据规范</x:v>
      </x:c>
      <x:c r="B1" s="240"/>
      <x:c r="C1" s="240"/>
      <x:c r="D1" s="240"/>
      <x:c r="E1" s="240"/>
      <x:c r="F1" s="240"/>
      <x:c r="G1" s="240"/>
      <x:c r="H1" s="240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</x:row>
    <x:row r="3" ht="15" hidden="0" customHeight="1">
      <x:c r="A3" s="242" t="str">
        <x:v>规范项</x:v>
      </x:c>
      <x:c r="B3" s="242" t="str">
        <x:v>发布要求</x:v>
      </x:c>
      <x:c r="C3" s="242" t="str">
        <x:v>执行方法</x:v>
      </x:c>
      <x:c r="D3" s="242" t="str">
        <x:v>示例/说明</x:v>
      </x:c>
      <x:c r="E3" s="242" t="str">
        <x:v>风险等级</x:v>
      </x:c>
      <x:c r="F3" s="242" t="str">
        <x:v>检查字段</x:v>
      </x:c>
      <x:c r="G3" s="242" t="str">
        <x:v>责任动作</x:v>
      </x:c>
      <x:c r="H3" s="242" t="str">
        <x:v>状态</x:v>
      </x:c>
    </x:row>
    <x:row r="4" ht="26.399999618530273" hidden="0" customHeight="1">
      <x:c r="A4" s="24" t="str">
        <x:v>底本声明</x:v>
      </x:c>
      <x:c r="B4" s="24" t="str">
        <x:v>维基文库仅作为可检索底本</x:v>
      </x:c>
      <x:c r="C4" s="24" t="str">
        <x:v>资料页注明来源与限制</x:v>
      </x:c>
      <x:c r="D4" s="24" t="str">
        <x:v>“本项目以维基文库百回本为检索底本，正式引用建议对照通行校注本。”</x:v>
      </x:c>
      <x:c r="E4" s="24" t="str">
        <x:v>高</x:v>
      </x:c>
      <x:c r="F4" s="24" t="str">
        <x:v>资料说明</x:v>
      </x:c>
      <x:c r="G4" s="24" t="str">
        <x:v>写入V4.0/V5.0页面</x:v>
      </x:c>
      <x:c r="H4" s="24" t="str">
        <x:v>待执行</x:v>
      </x:c>
    </x:row>
    <x:row r="5" ht="26.399999618530273" hidden="0" customHeight="1">
      <x:c r="A5" s="24" t="str">
        <x:v>作者表述</x:v>
      </x:c>
      <x:c r="B5" s="24" t="str">
        <x:v>不得写成无争议定论</x:v>
      </x:c>
      <x:c r="C5" s="24" t="str">
        <x:v>采用“吴承恩（通行说，作者问题有争议）”</x:v>
      </x:c>
      <x:c r="D5" s="24" t="str">
        <x:v>首页、报告、PPT统一该表述</x:v>
      </x:c>
      <x:c r="E5" s="24" t="str">
        <x:v>中</x:v>
      </x:c>
      <x:c r="F5" s="24" t="str">
        <x:v>作者说明</x:v>
      </x:c>
      <x:c r="G5" s="24" t="str">
        <x:v>统一改写</x:v>
      </x:c>
      <x:c r="H5" s="24" t="str">
        <x:v>待执行</x:v>
      </x:c>
    </x:row>
    <x:row r="6" ht="26.399999618530273" hidden="0" customHeight="1">
      <x:c r="A6" s="24" t="str">
        <x:v>短摘原则</x:v>
      </x:c>
      <x:c r="B6" s="24" t="str">
        <x:v>只摘短句，不搬大段</x:v>
      </x:c>
      <x:c r="C6" s="24" t="str">
        <x:v>每条摘录尽量控制在短句/短语级</x:v>
      </x:c>
      <x:c r="D6" s="24" t="str">
        <x:v>用于分析论证，不替代原文阅读</x:v>
      </x:c>
      <x:c r="E6" s="24" t="str">
        <x:v>高</x:v>
      </x:c>
      <x:c r="F6" s="24" t="str">
        <x:v>11/23表</x:v>
      </x:c>
      <x:c r="G6" s="24" t="str">
        <x:v>抽查过长摘录</x:v>
      </x:c>
      <x:c r="H6" s="24" t="str">
        <x:v>待复核</x:v>
      </x:c>
    </x:row>
    <x:row r="7" ht="15" hidden="0" customHeight="1">
      <x:c r="A7" s="24" t="str">
        <x:v>来源URL</x:v>
      </x:c>
      <x:c r="B7" s="24" t="str">
        <x:v>每条摘录必须有来源URL</x:v>
      </x:c>
      <x:c r="C7" s="24" t="str">
        <x:v>使用专表来源列</x:v>
      </x:c>
      <x:c r="D7" s="24" t="str">
        <x:v>维基文库具体回目链接</x:v>
      </x:c>
      <x:c r="E7" s="24" t="str">
        <x:v>高</x:v>
      </x:c>
      <x:c r="F7" s="24" t="str">
        <x:v>来源URL</x:v>
      </x:c>
      <x:c r="G7" s="24" t="str">
        <x:v>缺失则不可发布</x:v>
      </x:c>
      <x:c r="H7" s="24" t="str">
        <x:v>进行中</x:v>
      </x:c>
    </x:row>
    <x:row r="8" ht="26.399999618530273" hidden="0" customHeight="1">
      <x:c r="A8" s="24" t="str">
        <x:v>证据等级</x:v>
      </x:c>
      <x:c r="B8" s="24" t="str">
        <x:v>区分第99回主证据与对应回目补证</x:v>
      </x:c>
      <x:c r="C8" s="24" t="str">
        <x:v>字段写明一级/二级/待补证</x:v>
      </x:c>
      <x:c r="D8" s="24" t="str">
        <x:v>八十一难以第99回为主证据</x:v>
      </x:c>
      <x:c r="E8" s="24" t="str">
        <x:v>高</x:v>
      </x:c>
      <x:c r="F8" s="24" t="str">
        <x:v>证据级别</x:v>
      </x:c>
      <x:c r="G8" s="24" t="str">
        <x:v>补充字段说明</x:v>
      </x:c>
      <x:c r="H8" s="24" t="str">
        <x:v>进行中</x:v>
      </x:c>
    </x:row>
    <x:row r="9" ht="26.399999618530273" hidden="0" customHeight="1">
      <x:c r="A9" s="24" t="str">
        <x:v>观点边界</x:v>
      </x:c>
      <x:c r="B9" s="24" t="str">
        <x:v>现代管理/人生解读必须标明是“解读”</x:v>
      </x:c>
      <x:c r="C9" s="24" t="str">
        <x:v>不把解读写成原文意图</x:v>
      </x:c>
      <x:c r="D9" s="24" t="str">
        <x:v>如“可从组织管理角度理解”</x:v>
      </x:c>
      <x:c r="E9" s="24" t="str">
        <x:v>中</x:v>
      </x:c>
      <x:c r="F9" s="24" t="str">
        <x:v>可写观点</x:v>
      </x:c>
      <x:c r="G9" s="24" t="str">
        <x:v>发布稿检查措辞</x:v>
      </x:c>
      <x:c r="H9" s="24" t="str">
        <x:v>待执行</x:v>
      </x:c>
    </x:row>
    <x:row r="10" ht="26.399999618530273" hidden="0" customHeight="1">
      <x:c r="A10" s="24" t="str">
        <x:v>纸质校本</x:v>
      </x:c>
      <x:c r="B10" s="24" t="str">
        <x:v>公开正式版前对照纸质校注本</x:v>
      </x:c>
      <x:c r="C10" s="24" t="str">
        <x:v>建立待校本核对清单</x:v>
      </x:c>
      <x:c r="D10" s="24" t="str">
        <x:v>人民文学/中华书局/上海古籍等任选一套主校本</x:v>
      </x:c>
      <x:c r="E10" s="24" t="str">
        <x:v>高</x:v>
      </x:c>
      <x:c r="F10" s="24" t="str">
        <x:v>待复核问题清单</x:v>
      </x:c>
      <x:c r="G10" s="24" t="str">
        <x:v>列入V4.5任务</x:v>
      </x:c>
      <x:c r="H10" s="24" t="str">
        <x:v>待执行</x:v>
      </x:c>
    </x:row>
    <x:row r="11" ht="15" hidden="0" customHeight="1">
      <x:c r="A11" s="24" t="str">
        <x:v>版权边界</x:v>
      </x:c>
      <x:c r="B11" s="24" t="str">
        <x:v>以评论、研究、摘录为主</x:v>
      </x:c>
      <x:c r="C11" s="24" t="str">
        <x:v>不提供全文复制，不大段引用</x:v>
      </x:c>
      <x:c r="D11" s="24" t="str">
        <x:v>引导读者阅读原书</x:v>
      </x:c>
      <x:c r="E11" s="24" t="str">
        <x:v>高</x:v>
      </x:c>
      <x:c r="F11" s="24" t="str">
        <x:v>全文页</x:v>
      </x:c>
      <x:c r="G11" s="24" t="str">
        <x:v>发布前删长摘</x:v>
      </x:c>
      <x:c r="H11" s="24" t="str">
        <x:v>待执行</x:v>
      </x:c>
    </x:row>
    <x:row r="12" ht="15" hidden="0" customHeight="1">
      <x:c r="A12" s="24"/>
      <x:c r="B12" s="24"/>
      <x:c r="C12" s="24"/>
      <x:c r="D12" s="24"/>
      <x:c r="E12" s="24"/>
      <x:c r="F12" s="24"/>
      <x:c r="G12" s="24"/>
      <x:c r="H12" s="24"/>
    </x:row>
    <x:row r="13" ht="15" hidden="0" customHeight="1">
      <x:c r="A13" s="242" t="str">
        <x:v>推荐引用模板</x:v>
      </x:c>
      <x:c r="B13" s="242" t="str">
        <x:v>适用场景</x:v>
      </x:c>
      <x:c r="C13" s="242" t="str">
        <x:v>模板内容</x:v>
      </x:c>
      <x:c r="D13" s="242" t="str">
        <x:v>备注</x:v>
      </x:c>
      <x:c r="E13" s="242" t="str"/>
      <x:c r="F13" s="242" t="str"/>
      <x:c r="G13" s="242" t="str"/>
      <x:c r="H13" s="242" t="str"/>
    </x:row>
    <x:row r="14" ht="66" hidden="0" customHeight="1">
      <x:c r="A14" s="24" t="str">
        <x:v>网页资料页</x:v>
      </x:c>
      <x:c r="B14" s="24" t="str">
        <x:v>HTML/PWA</x:v>
      </x:c>
      <x:c r="C14" s="24" t="str">
        <x:v>本项目以维基文库《西游记》百回本为检索底本，相关回目、难簿和短摘均用于研究、评论与个人阅读整理；正式引用建议对照通行纸质校注本。</x:v>
      </x:c>
      <x:c r="D14" s="24" t="str">
        <x:v>直接放在资料与声明页</x:v>
      </x:c>
      <x:c r="E14" s="24" t="str"/>
      <x:c r="F14" s="24" t="str"/>
      <x:c r="G14" s="24" t="str"/>
      <x:c r="H14" s="24" t="str"/>
    </x:row>
    <x:row r="15" ht="52.79999923706055" hidden="0" customHeight="1">
      <x:c r="A15" s="24" t="str">
        <x:v>文章注释</x:v>
      </x:c>
      <x:c r="B15" s="24" t="str">
        <x:v>公众号/报告</x:v>
      </x:c>
      <x:c r="C15" s="24" t="str">
        <x:v>本文所引回目与短摘以维基文库百回本为检索依据，个别标点、异文与校注请以纸质校注本为准。</x:v>
      </x:c>
      <x:c r="D15" s="24" t="str">
        <x:v>适合公众号尾注</x:v>
      </x:c>
      <x:c r="E15" s="24" t="str"/>
      <x:c r="F15" s="24" t="str"/>
      <x:c r="G15" s="24" t="str"/>
      <x:c r="H15" s="24" t="str"/>
    </x:row>
    <x:row r="16" ht="52.79999923706055" hidden="0" customHeight="1">
      <x:c r="A16" s="24" t="str">
        <x:v>AI声明</x:v>
      </x:c>
      <x:c r="B16" s="24" t="str">
        <x:v>报告/PWA</x:v>
      </x:c>
      <x:c r="C16" s="24" t="str">
        <x:v>本项目使用AI辅助完成文本整理、表格抽取、图谱构建和初稿生成；观点、结构与发布文本需经人工校核。</x:v>
      </x:c>
      <x:c r="D16" s="24" t="str">
        <x:v>必须保留</x:v>
      </x:c>
      <x:c r="E16" s="24" t="str"/>
      <x:c r="F16" s="24" t="str"/>
      <x:c r="G16" s="24" t="str"/>
      <x:c r="H16" s="24" t="str"/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H1"/>
  </x:mergeCells>
  <x:conditionalFormatting sqref="E4:E11">
    <x:cfRule type="expression" dxfId="15" priority="1">
      <x:formula>E4="高"</x:formula>
    </x:cfRule>
  </x:conditionalFormatting>
  <x:conditionalFormatting sqref="H4:H100">
    <x:cfRule type="expression" dxfId="16" priority="2">
      <x:formula>H4="已完成"</x:formula>
    </x:cfRule>
    <x:cfRule type="expression" dxfId="17" priority="3">
      <x:formula>OR(H4="待执行",H4="待复核")</x:formula>
    </x:cfRule>
  </x:conditionalFormatting>
  <x:dataValidations count="1">
    <x:dataValidation type="list" sqref="H4:H100">
      <x:formula1>"待执行,进行中,待复核,已完成"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f32c15c3f0402f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28" hidden="0" customWidth="1"/>
    <x:col min="5" max="5" width="26" hidden="0" customWidth="1"/>
    <x:col min="6" max="6" width="10" hidden="0" customWidth="1"/>
    <x:col min="7" max="7" width="12" hidden="0" customWidth="1"/>
    <x:col min="8" max="8" width="24" hidden="0" customWidth="1"/>
    <x:col min="9" max="9" width="20" hidden="0" customWidth="1"/>
  </x:cols>
  <x:sheetData>
    <x:row r="1" ht="134.39999389648438" hidden="0" customHeight="1">
      <x:c r="A1" s="240" t="str">
        <x:v>《再读西游》V3.0 发布前校核清单</x:v>
      </x:c>
      <x:c r="B1" s="240"/>
      <x:c r="C1" s="240"/>
      <x:c r="D1" s="240"/>
      <x:c r="E1" s="240"/>
      <x:c r="F1" s="240"/>
      <x:c r="G1" s="240"/>
      <x:c r="H1" s="240"/>
      <x:c r="I1" s="240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42" t="str">
        <x:v>序号</x:v>
      </x:c>
      <x:c r="B3" s="242" t="str">
        <x:v>检查对象</x:v>
      </x:c>
      <x:c r="C3" s="242" t="str">
        <x:v>检查项</x:v>
      </x:c>
      <x:c r="D3" s="242" t="str">
        <x:v>通过标准</x:v>
      </x:c>
      <x:c r="E3" s="242" t="str">
        <x:v>检查方法</x:v>
      </x:c>
      <x:c r="F3" s="242" t="str">
        <x:v>优先级</x:v>
      </x:c>
      <x:c r="G3" s="242" t="str">
        <x:v>状态</x:v>
      </x:c>
      <x:c r="H3" s="242" t="str">
        <x:v>问题记录</x:v>
      </x:c>
      <x:c r="I3" s="242" t="str">
        <x:v>关闭条件</x:v>
      </x:c>
    </x:row>
    <x:row r="4" ht="15" hidden="0" customHeight="1">
      <x:c r="A4" s="24" t="n">
        <x:v>1</x:v>
      </x:c>
      <x:c r="B4" s="24" t="str">
        <x:v>百回主题表</x:v>
      </x:c>
      <x:c r="C4" s="24" t="str">
        <x:v>回目覆盖</x:v>
      </x:c>
      <x:c r="D4" s="24" t="str">
        <x:v>1—100回完整，无缺号、重号</x:v>
      </x:c>
      <x:c r="E4" s="24" t="str">
        <x:v>抽查01表与维基文库总目</x:v>
      </x:c>
      <x:c r="F4" s="24" t="str">
        <x:v>高</x:v>
      </x:c>
      <x:c r="G4" s="24" t="str">
        <x:v>待复核</x:v>
      </x:c>
      <x:c r="H4" s="24" t="str"/>
      <x:c r="I4" s="24" t="str">
        <x:v>无缺漏</x:v>
      </x:c>
    </x:row>
    <x:row r="5" ht="26.399999618530273" hidden="0" customHeight="1">
      <x:c r="A5" s="24" t="n">
        <x:v>2</x:v>
      </x:c>
      <x:c r="B5" s="24" t="str">
        <x:v>百回主题表</x:v>
      </x:c>
      <x:c r="C5" s="24" t="str">
        <x:v>回目标题</x:v>
      </x:c>
      <x:c r="D5" s="24" t="str">
        <x:v>主要回目标题与底本一致</x:v>
      </x:c>
      <x:c r="E5" s="24" t="str">
        <x:v>抽查关键回目：27/58/65/74/99</x:v>
      </x:c>
      <x:c r="F5" s="24" t="str">
        <x:v>高</x:v>
      </x:c>
      <x:c r="G5" s="24" t="str">
        <x:v>待复核</x:v>
      </x:c>
      <x:c r="H5" s="24" t="str"/>
      <x:c r="I5" s="24" t="str">
        <x:v>标题无明显错误</x:v>
      </x:c>
    </x:row>
    <x:row r="6" ht="15" hidden="0" customHeight="1">
      <x:c r="A6" s="24" t="n">
        <x:v>3</x:v>
      </x:c>
      <x:c r="B6" s="24" t="str">
        <x:v>八十一难校注</x:v>
      </x:c>
      <x:c r="C6" s="24" t="str">
        <x:v>难次覆盖</x:v>
      </x:c>
      <x:c r="D6" s="24" t="str">
        <x:v>1—81难完整</x:v>
      </x:c>
      <x:c r="E6" s="24" t="str">
        <x:v>查20表</x:v>
      </x:c>
      <x:c r="F6" s="24" t="str">
        <x:v>高</x:v>
      </x:c>
      <x:c r="G6" s="24" t="str">
        <x:v>已完成</x:v>
      </x:c>
      <x:c r="H6" s="24" t="str"/>
      <x:c r="I6" s="24" t="str">
        <x:v>81条完整</x:v>
      </x:c>
    </x:row>
    <x:row r="7" ht="15" hidden="0" customHeight="1">
      <x:c r="A7" s="24" t="n">
        <x:v>4</x:v>
      </x:c>
      <x:c r="B7" s="24" t="str">
        <x:v>八十一难校注</x:v>
      </x:c>
      <x:c r="C7" s="24" t="str">
        <x:v>第99回依据</x:v>
      </x:c>
      <x:c r="D7" s="24" t="str">
        <x:v>前80难均标明第99回难簿依据</x:v>
      </x:c>
      <x:c r="E7" s="24" t="str">
        <x:v>查20表来源列</x:v>
      </x:c>
      <x:c r="F7" s="24" t="str">
        <x:v>高</x:v>
      </x:c>
      <x:c r="G7" s="24" t="str">
        <x:v>进行中</x:v>
      </x:c>
      <x:c r="H7" s="24" t="str"/>
      <x:c r="I7" s="24" t="str">
        <x:v>来源列完整</x:v>
      </x:c>
    </x:row>
    <x:row r="8" ht="15" hidden="0" customHeight="1">
      <x:c r="A8" s="24" t="n">
        <x:v>5</x:v>
      </x:c>
      <x:c r="B8" s="24" t="str">
        <x:v>八十一难校注</x:v>
      </x:c>
      <x:c r="C8" s="24" t="str">
        <x:v>第81难说明</x:v>
      </x:c>
      <x:c r="D8" s="24" t="str">
        <x:v>明确老鼋湿经补足最后一难</x:v>
      </x:c>
      <x:c r="E8" s="24" t="str">
        <x:v>查20表/资料说明</x:v>
      </x:c>
      <x:c r="F8" s="24" t="str">
        <x:v>高</x:v>
      </x:c>
      <x:c r="G8" s="24" t="str">
        <x:v>进行中</x:v>
      </x:c>
      <x:c r="H8" s="24" t="str"/>
      <x:c r="I8" s="24" t="str">
        <x:v>说明清楚</x:v>
      </x:c>
    </x:row>
    <x:row r="9" ht="15" hidden="0" customHeight="1">
      <x:c r="A9" s="24" t="n">
        <x:v>6</x:v>
      </x:c>
      <x:c r="B9" s="24" t="str">
        <x:v>原文摘录表</x:v>
      </x:c>
      <x:c r="C9" s="24" t="str">
        <x:v>摘录短句化</x:v>
      </x:c>
      <x:c r="D9" s="24" t="str">
        <x:v>无长段复制</x:v>
      </x:c>
      <x:c r="E9" s="24" t="str">
        <x:v>筛查11/23表</x:v>
      </x:c>
      <x:c r="F9" s="24" t="str">
        <x:v>高</x:v>
      </x:c>
      <x:c r="G9" s="24" t="str">
        <x:v>待复核</x:v>
      </x:c>
      <x:c r="H9" s="24" t="str"/>
      <x:c r="I9" s="24" t="str">
        <x:v>长摘已删改</x:v>
      </x:c>
    </x:row>
    <x:row r="10" ht="15" hidden="0" customHeight="1">
      <x:c r="A10" s="24" t="n">
        <x:v>7</x:v>
      </x:c>
      <x:c r="B10" s="24" t="str">
        <x:v>原文摘录表</x:v>
      </x:c>
      <x:c r="C10" s="24" t="str">
        <x:v>来源URL</x:v>
      </x:c>
      <x:c r="D10" s="24" t="str">
        <x:v>摘录均有URL</x:v>
      </x:c>
      <x:c r="E10" s="24" t="str">
        <x:v>筛查来源URL空值</x:v>
      </x:c>
      <x:c r="F10" s="24" t="str">
        <x:v>高</x:v>
      </x:c>
      <x:c r="G10" s="24" t="str">
        <x:v>进行中</x:v>
      </x:c>
      <x:c r="H10" s="24" t="str"/>
      <x:c r="I10" s="24" t="str">
        <x:v>空值为0</x:v>
      </x:c>
    </x:row>
    <x:row r="11" ht="26.399999618530273" hidden="0" customHeight="1">
      <x:c r="A11" s="24" t="n">
        <x:v>8</x:v>
      </x:c>
      <x:c r="B11" s="24" t="str">
        <x:v>人物关系表</x:v>
      </x:c>
      <x:c r="C11" s="24" t="str">
        <x:v>人物命名统一</x:v>
      </x:c>
      <x:c r="D11" s="24" t="str">
        <x:v>孙悟空/唐僧/猪八戒/沙悟净等统一</x:v>
      </x:c>
      <x:c r="E11" s="24" t="str">
        <x:v>与26口径表对照</x:v>
      </x:c>
      <x:c r="F11" s="24" t="str">
        <x:v>中</x:v>
      </x:c>
      <x:c r="G11" s="24" t="str">
        <x:v>待复核</x:v>
      </x:c>
      <x:c r="H11" s="24" t="str"/>
      <x:c r="I11" s="24" t="str">
        <x:v>异名有说明</x:v>
      </x:c>
    </x:row>
    <x:row r="12" ht="26.399999618530273" hidden="0" customHeight="1">
      <x:c r="A12" s="24" t="n">
        <x:v>9</x:v>
      </x:c>
      <x:c r="B12" s="24" t="str">
        <x:v>妖怪分类表</x:v>
      </x:c>
      <x:c r="C12" s="24" t="str">
        <x:v>后台类型统一</x:v>
      </x:c>
      <x:c r="D12" s="24" t="str">
        <x:v>坐骑/童子/亲属/法宝外溢/非后台等标签统一</x:v>
      </x:c>
      <x:c r="E12" s="24" t="str">
        <x:v>查03/08/16表</x:v>
      </x:c>
      <x:c r="F12" s="24" t="str">
        <x:v>中</x:v>
      </x:c>
      <x:c r="G12" s="24" t="str">
        <x:v>待复核</x:v>
      </x:c>
      <x:c r="H12" s="24" t="str"/>
      <x:c r="I12" s="24" t="str">
        <x:v>标签不冲突</x:v>
      </x:c>
    </x:row>
    <x:row r="13" ht="26.399999618530273" hidden="0" customHeight="1">
      <x:c r="A13" s="24" t="n">
        <x:v>10</x:v>
      </x:c>
      <x:c r="B13" s="24" t="str">
        <x:v>法宝表</x:v>
      </x:c>
      <x:c r="C13" s="24" t="str">
        <x:v>器物与机制分离</x:v>
      </x:c>
      <x:c r="D13" s="24" t="str">
        <x:v>器物法宝、能力、制度机制分层标注</x:v>
      </x:c>
      <x:c r="E13" s="24" t="str">
        <x:v>查07表</x:v>
      </x:c>
      <x:c r="F13" s="24" t="str">
        <x:v>中</x:v>
      </x:c>
      <x:c r="G13" s="24" t="str">
        <x:v>待复核</x:v>
      </x:c>
      <x:c r="H13" s="24" t="str"/>
      <x:c r="I13" s="24" t="str">
        <x:v>类型清楚</x:v>
      </x:c>
    </x:row>
    <x:row r="14" ht="15" hidden="0" customHeight="1">
      <x:c r="A14" s="24" t="n">
        <x:v>11</x:v>
      </x:c>
      <x:c r="B14" s="24" t="str">
        <x:v>专题文章</x:v>
      </x:c>
      <x:c r="C14" s="24" t="str">
        <x:v>观点有证据</x:v>
      </x:c>
      <x:c r="D14" s="24" t="str">
        <x:v>每篇至少5条证据或回目定位</x:v>
      </x:c>
      <x:c r="E14" s="24" t="str">
        <x:v>查24/23/11表</x:v>
      </x:c>
      <x:c r="F14" s="24" t="str">
        <x:v>高</x:v>
      </x:c>
      <x:c r="G14" s="24" t="str">
        <x:v>待复核</x:v>
      </x:c>
      <x:c r="H14" s="24" t="str"/>
      <x:c r="I14" s="24" t="str">
        <x:v>证据链完整</x:v>
      </x:c>
    </x:row>
    <x:row r="15" ht="15" hidden="0" customHeight="1">
      <x:c r="A15" s="24" t="n">
        <x:v>12</x:v>
      </x:c>
      <x:c r="B15" s="24" t="str">
        <x:v>专题文章</x:v>
      </x:c>
      <x:c r="C15" s="24" t="str">
        <x:v>现代解读边界</x:v>
      </x:c>
      <x:c r="D15" s="24" t="str">
        <x:v>管理/人生解读不替代文本事实</x:v>
      </x:c>
      <x:c r="E15" s="24" t="str">
        <x:v>人工通读</x:v>
      </x:c>
      <x:c r="F15" s="24" t="str">
        <x:v>中</x:v>
      </x:c>
      <x:c r="G15" s="24" t="str">
        <x:v>待复核</x:v>
      </x:c>
      <x:c r="H15" s="24" t="str"/>
      <x:c r="I15" s="24" t="str">
        <x:v>措辞已调整</x:v>
      </x:c>
    </x:row>
    <x:row r="16" ht="15" hidden="0" customHeight="1">
      <x:c r="A16" s="24" t="n">
        <x:v>13</x:v>
      </x:c>
      <x:c r="B16" s="24" t="str">
        <x:v>HTML/PWA</x:v>
      </x:c>
      <x:c r="C16" s="24" t="str">
        <x:v>资料声明</x:v>
      </x:c>
      <x:c r="D16" s="24" t="str">
        <x:v>底本、版权、AI声明齐全</x:v>
      </x:c>
      <x:c r="E16" s="24" t="str">
        <x:v>查资料与声明页</x:v>
      </x:c>
      <x:c r="F16" s="24" t="str">
        <x:v>高</x:v>
      </x:c>
      <x:c r="G16" s="24" t="str">
        <x:v>待执行</x:v>
      </x:c>
      <x:c r="H16" s="24" t="str"/>
      <x:c r="I16" s="24" t="str">
        <x:v>声明已加入</x:v>
      </x:c>
    </x:row>
    <x:row r="17" ht="15" hidden="0" customHeight="1">
      <x:c r="A17" s="24" t="n">
        <x:v>14</x:v>
      </x:c>
      <x:c r="B17" s="24" t="str">
        <x:v>HTML/PWA</x:v>
      </x:c>
      <x:c r="C17" s="24" t="str">
        <x:v>移动端可读</x:v>
      </x:c>
      <x:c r="D17" s="24" t="str">
        <x:v>手机端字号、卡片、搜索可用</x:v>
      </x:c>
      <x:c r="E17" s="24" t="str">
        <x:v>实机测试</x:v>
      </x:c>
      <x:c r="F17" s="24" t="str">
        <x:v>中</x:v>
      </x:c>
      <x:c r="G17" s="24" t="str">
        <x:v>待执行</x:v>
      </x:c>
      <x:c r="H17" s="24" t="str"/>
      <x:c r="I17" s="24" t="str">
        <x:v>可正常阅读</x:v>
      </x:c>
    </x:row>
    <x:row r="18" ht="26.399999618530273" hidden="0" customHeight="1">
      <x:c r="A18" s="24" t="n">
        <x:v>15</x:v>
      </x:c>
      <x:c r="B18" s="24" t="str">
        <x:v>发布包</x:v>
      </x:c>
      <x:c r="C18" s="24" t="str">
        <x:v>文件命名</x:v>
      </x:c>
      <x:c r="D18" s="24" t="str">
        <x:v>HTML/Excel/PDF/公众号稿命名统一</x:v>
      </x:c>
      <x:c r="E18" s="24" t="str">
        <x:v>查30表</x:v>
      </x:c>
      <x:c r="F18" s="24" t="str">
        <x:v>中</x:v>
      </x:c>
      <x:c r="G18" s="24" t="str">
        <x:v>待执行</x:v>
      </x:c>
      <x:c r="H18" s="24" t="str"/>
      <x:c r="I18" s="24" t="str">
        <x:v>命名统一</x:v>
      </x:c>
    </x:row>
    <x:row r="19" ht="15" hidden="0" customHeight="1">
      <x:c r="A19" s="24"/>
      <x:c r="B19" s="24"/>
      <x:c r="C19" s="24"/>
      <x:c r="D19" s="24"/>
      <x:c r="E19" s="24"/>
      <x:c r="F19" s="24"/>
      <x:c r="G19" s="24"/>
      <x:c r="H19" s="24"/>
      <x:c r="I19" s="24"/>
    </x:row>
    <x:row r="20" ht="15" hidden="0" customHeight="1">
      <x:c r="A20" s="242" t="str">
        <x:v>状态统计</x:v>
      </x:c>
      <x:c r="B20" s="242" t="str">
        <x:v>公式</x:v>
      </x:c>
      <x:c r="C20" s="242" t="str">
        <x:v>说明</x:v>
      </x:c>
      <x:c r="D20" s="242" t="str"/>
      <x:c r="E20" s="242" t="str"/>
      <x:c r="F20" s="242" t="str"/>
      <x:c r="G20" s="242" t="str"/>
      <x:c r="H20" s="242" t="str"/>
      <x:c r="I20" s="242" t="str"/>
    </x:row>
    <x:row r="21" ht="15" hidden="0" customHeight="1">
      <x:c r="A21" s="24" t="str">
        <x:v>已完成</x:v>
      </x:c>
      <x:c r="B21" s="24" t="n">
        <x:f>COUNTIF(G4:G18,"已完成")</x:f>
        <x:v>1</x:v>
      </x:c>
      <x:c r="C21" s="24" t="str">
        <x:v>可进入下一阶段</x:v>
      </x:c>
      <x:c r="D21" s="24" t="str"/>
      <x:c r="E21" s="24" t="str"/>
      <x:c r="F21" s="24" t="str"/>
      <x:c r="G21" s="24" t="str"/>
      <x:c r="H21" s="24" t="str"/>
      <x:c r="I21" s="24" t="str"/>
    </x:row>
    <x:row r="22" ht="15" hidden="0" customHeight="1">
      <x:c r="A22" s="24" t="str">
        <x:v>进行中</x:v>
      </x:c>
      <x:c r="B22" s="24" t="n">
        <x:f>COUNTIF(G4:G18,"进行中")</x:f>
        <x:v>3</x:v>
      </x:c>
      <x:c r="C22" s="24" t="str">
        <x:v>正在处理</x:v>
      </x:c>
      <x:c r="D22" s="24" t="str"/>
      <x:c r="E22" s="24" t="str"/>
      <x:c r="F22" s="24" t="str"/>
      <x:c r="G22" s="24" t="str"/>
      <x:c r="H22" s="24" t="str"/>
      <x:c r="I22" s="24" t="str"/>
    </x:row>
    <x:row r="23" ht="15" hidden="0" customHeight="1">
      <x:c r="A23" s="24" t="str">
        <x:v>待复核</x:v>
      </x:c>
      <x:c r="B23" s="24" t="n">
        <x:f>COUNTIF(G4:G18,"待复核")</x:f>
        <x:v>8</x:v>
      </x:c>
      <x:c r="C23" s="24" t="str">
        <x:v>重点复核对象</x:v>
      </x:c>
      <x:c r="D23" s="24" t="str"/>
      <x:c r="E23" s="24" t="str"/>
      <x:c r="F23" s="24" t="str"/>
      <x:c r="G23" s="24" t="str"/>
      <x:c r="H23" s="24" t="str"/>
      <x:c r="I23" s="24" t="str"/>
    </x:row>
    <x:row r="24" ht="15" hidden="0" customHeight="1">
      <x:c r="A24" s="24" t="str">
        <x:v>待执行</x:v>
      </x:c>
      <x:c r="B24" s="24" t="n">
        <x:f>COUNTIF(G4:G18,"待执行")</x:f>
        <x:v>3</x:v>
      </x:c>
      <x:c r="C24" s="24" t="str">
        <x:v>V4.0/V4.5处理</x:v>
      </x:c>
      <x:c r="D24" s="24" t="str"/>
      <x:c r="E24" s="24" t="str"/>
      <x:c r="F24" s="24" t="str"/>
      <x:c r="G24" s="24" t="str"/>
      <x:c r="H24" s="24" t="str"/>
      <x:c r="I24" s="24" t="str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</x:mergeCells>
  <x:conditionalFormatting sqref="F4:F18">
    <x:cfRule type="expression" dxfId="18" priority="1">
      <x:formula>F4="高"</x:formula>
    </x:cfRule>
  </x:conditionalFormatting>
  <x:conditionalFormatting sqref="G4:G18">
    <x:cfRule type="expression" dxfId="19" priority="2">
      <x:formula>G4="已完成"</x:formula>
    </x:cfRule>
    <x:cfRule type="expression" dxfId="20" priority="3">
      <x:formula>G4="进行中"</x:formula>
    </x:cfRule>
    <x:cfRule type="expression" dxfId="21" priority="4">
      <x:formula>OR(G4="待执行",G4="待复核")</x:formula>
    </x:cfRule>
  </x:conditionalFormatting>
  <x:dataValidations count="2">
    <x:dataValidation type="list" sqref="F4:F18">
      <x:formula1>"高,中,低"</x:formula1>
    </x:dataValidation>
    <x:dataValidation type="list" sqref="G4:G18">
      <x:formula1>"待执行,进行中,待复核,已完成"</x:formula1>
    </x:dataValidation>
  </x:dataValidations>
  <x:pageMargins left="0.7" right="0.7" top="0.75" bottom="0.75" header="0.3" footer="0.3"/>
  <x:drawing xmlns:r="http://schemas.openxmlformats.org/officeDocument/2006/relationships" r:id="Rf94c0010bc8b462e"/>
  <x:tableParts count="1">
    <x:tablePart xmlns:r="http://schemas.openxmlformats.org/officeDocument/2006/relationships" r:id="R3e28f69cecab459a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20" hidden="0" customWidth="1"/>
    <x:col min="5" max="5" width="30" hidden="0" customWidth="1"/>
    <x:col min="6" max="6" width="22" hidden="0" customWidth="1"/>
    <x:col min="7" max="7" width="12" hidden="0" customWidth="1"/>
    <x:col min="8" max="8" width="12" hidden="0" customWidth="1"/>
    <x:col min="9" max="9" width="22" hidden="0" customWidth="1"/>
  </x:cols>
  <x:sheetData>
    <x:row r="1" ht="115.19999694824219" hidden="0" customHeight="1">
      <x:c r="A1" s="240" t="str">
        <x:v>《再读西游》V3.0 待复核问题与整改闭环</x:v>
      </x:c>
      <x:c r="B1" s="240"/>
      <x:c r="C1" s="240"/>
      <x:c r="D1" s="240"/>
      <x:c r="E1" s="240"/>
      <x:c r="F1" s="240"/>
      <x:c r="G1" s="240"/>
      <x:c r="H1" s="240"/>
      <x:c r="I1" s="240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42" t="str">
        <x:v>问题ID</x:v>
      </x:c>
      <x:c r="B3" s="242" t="str">
        <x:v>问题类别</x:v>
      </x:c>
      <x:c r="C3" s="242" t="str">
        <x:v>问题描述</x:v>
      </x:c>
      <x:c r="D3" s="242" t="str">
        <x:v>影响范围</x:v>
      </x:c>
      <x:c r="E3" s="242" t="str">
        <x:v>建议处理</x:v>
      </x:c>
      <x:c r="F3" s="242" t="str">
        <x:v>责任动作</x:v>
      </x:c>
      <x:c r="G3" s="242" t="str">
        <x:v>风险等级</x:v>
      </x:c>
      <x:c r="H3" s="242" t="str">
        <x:v>状态</x:v>
      </x:c>
      <x:c r="I3" s="242" t="str">
        <x:v>关闭备注</x:v>
      </x:c>
    </x:row>
    <x:row r="4" ht="39.599998474121094" hidden="0" customHeight="1">
      <x:c r="A4" s="24" t="str">
        <x:v>R-001</x:v>
      </x:c>
      <x:c r="B4" s="24" t="str">
        <x:v>版本底本</x:v>
      </x:c>
      <x:c r="C4" s="24" t="str">
        <x:v>当前主要依赖维基文库检索底本，正式发布前需选定纸质校注本进行抽核。</x:v>
      </x:c>
      <x:c r="D4" s="24" t="str">
        <x:v>报告/PWA/公众号</x:v>
      </x:c>
      <x:c r="E4" s="24" t="str">
        <x:v>选一套主校本，至少校核关键回目与引用摘录。</x:v>
      </x:c>
      <x:c r="F4" s="24" t="str">
        <x:v>建立纸质校本核对记录</x:v>
      </x:c>
      <x:c r="G4" s="24" t="str">
        <x:v>高</x:v>
      </x:c>
      <x:c r="H4" s="24" t="str">
        <x:v>待处理</x:v>
      </x:c>
      <x:c r="I4" s="24" t="str"/>
    </x:row>
    <x:row r="5" ht="26.399999618530273" hidden="0" customHeight="1">
      <x:c r="A5" s="24" t="str">
        <x:v>R-002</x:v>
      </x:c>
      <x:c r="B5" s="24" t="str">
        <x:v>作者表述</x:v>
      </x:c>
      <x:c r="C5" s="24" t="str">
        <x:v>不得把吴承恩作者问题写成无争议定论。</x:v>
      </x:c>
      <x:c r="D5" s="24" t="str">
        <x:v>首页/报告/资料页</x:v>
      </x:c>
      <x:c r="E5" s="24" t="str">
        <x:v>统一写作“吴承恩（通行说，作者问题有争议）”。</x:v>
      </x:c>
      <x:c r="F5" s="24" t="str">
        <x:v>全稿替换检查</x:v>
      </x:c>
      <x:c r="G5" s="24" t="str">
        <x:v>中</x:v>
      </x:c>
      <x:c r="H5" s="24" t="str">
        <x:v>待处理</x:v>
      </x:c>
      <x:c r="I5" s="24" t="str"/>
    </x:row>
    <x:row r="6" ht="26.399999618530273" hidden="0" customHeight="1">
      <x:c r="A6" s="24" t="str">
        <x:v>R-003</x:v>
      </x:c>
      <x:c r="B6" s="24" t="str">
        <x:v>八十一难</x:v>
      </x:c>
      <x:c r="C6" s="24" t="str">
        <x:v>第81难为老鼋湿经补足，需与第99回文字逻辑保持一致。</x:v>
      </x:c>
      <x:c r="D6" s="24" t="str">
        <x:v>八十一难表/专题文章</x:v>
      </x:c>
      <x:c r="E6" s="24" t="str">
        <x:v>第99回前80难+还少一难+老鼋落水构成补足说明。</x:v>
      </x:c>
      <x:c r="F6" s="24" t="str">
        <x:v>在20表和资料页加说明</x:v>
      </x:c>
      <x:c r="G6" s="24" t="str">
        <x:v>高</x:v>
      </x:c>
      <x:c r="H6" s="24" t="str">
        <x:v>进行中</x:v>
      </x:c>
      <x:c r="I6" s="24" t="str"/>
    </x:row>
    <x:row r="7" ht="26.399999618530273" hidden="0" customHeight="1">
      <x:c r="A7" s="24" t="str">
        <x:v>R-004</x:v>
      </x:c>
      <x:c r="B7" s="24" t="str">
        <x:v>原文摘录</x:v>
      </x:c>
      <x:c r="C7" s="24" t="str">
        <x:v>部分摘录可能偏长或仅为定位性短语，发布前需按用途筛选。</x:v>
      </x:c>
      <x:c r="D7" s="24" t="str">
        <x:v>11/23表/文章</x:v>
      </x:c>
      <x:c r="E7" s="24" t="str">
        <x:v>长文中保留短摘；图文中更多用概述。</x:v>
      </x:c>
      <x:c r="F7" s="24" t="str">
        <x:v>抽查四篇首发文章</x:v>
      </x:c>
      <x:c r="G7" s="24" t="str">
        <x:v>高</x:v>
      </x:c>
      <x:c r="H7" s="24" t="str">
        <x:v>待处理</x:v>
      </x:c>
      <x:c r="I7" s="24" t="str"/>
    </x:row>
    <x:row r="8" ht="26.399999618530273" hidden="0" customHeight="1">
      <x:c r="A8" s="24" t="str">
        <x:v>R-005</x:v>
      </x:c>
      <x:c r="B8" s="24" t="str">
        <x:v>现代解读</x:v>
      </x:c>
      <x:c r="C8" s="24" t="str">
        <x:v>组织管理、风险治理、人生修养等为现代阐释，不应写成作者原意。</x:v>
      </x:c>
      <x:c r="D8" s="24" t="str">
        <x:v>专题文章</x:v>
      </x:c>
      <x:c r="E8" s="24" t="str">
        <x:v>增加“可从……角度理解”等措辞。</x:v>
      </x:c>
      <x:c r="F8" s="24" t="str">
        <x:v>人工通读修辞</x:v>
      </x:c>
      <x:c r="G8" s="24" t="str">
        <x:v>中</x:v>
      </x:c>
      <x:c r="H8" s="24" t="str">
        <x:v>待处理</x:v>
      </x:c>
      <x:c r="I8" s="24" t="str"/>
    </x:row>
    <x:row r="9" ht="26.399999618530273" hidden="0" customHeight="1">
      <x:c r="A9" s="24" t="str">
        <x:v>R-006</x:v>
      </x:c>
      <x:c r="B9" s="24" t="str">
        <x:v>后台妖怪</x:v>
      </x:c>
      <x:c r="C9" s="24" t="str">
        <x:v>后台类型需避免现实化、情绪化词汇。</x:v>
      </x:c>
      <x:c r="D9" s="24" t="str">
        <x:v>后台妖怪矩阵/公众号</x:v>
      </x:c>
      <x:c r="E9" s="24" t="str">
        <x:v>改用“归属系统、收束者、来源类型”。</x:v>
      </x:c>
      <x:c r="F9" s="24" t="str">
        <x:v>统一术语</x:v>
      </x:c>
      <x:c r="G9" s="24" t="str">
        <x:v>中</x:v>
      </x:c>
      <x:c r="H9" s="24" t="str">
        <x:v>待处理</x:v>
      </x:c>
      <x:c r="I9" s="24" t="str"/>
    </x:row>
    <x:row r="10" ht="26.399999618530273" hidden="0" customHeight="1">
      <x:c r="A10" s="24" t="str">
        <x:v>R-007</x:v>
      </x:c>
      <x:c r="B10" s="24" t="str">
        <x:v>图谱数据</x:v>
      </x:c>
      <x:c r="C10" s="24" t="str">
        <x:v>人物关系边数量较多，发布端需精选，不宜全量堆叠。</x:v>
      </x:c>
      <x:c r="D10" s="24" t="str">
        <x:v>PWA图谱</x:v>
      </x:c>
      <x:c r="E10" s="24" t="str">
        <x:v>首页只放精选图谱，全量表作附录。</x:v>
      </x:c>
      <x:c r="F10" s="24" t="str">
        <x:v>V4.0页面瘦身</x:v>
      </x:c>
      <x:c r="G10" s="24" t="str">
        <x:v>中</x:v>
      </x:c>
      <x:c r="H10" s="24" t="str">
        <x:v>待处理</x:v>
      </x:c>
      <x:c r="I10" s="24" t="str"/>
    </x:row>
    <x:row r="11" ht="26.399999618530273" hidden="0" customHeight="1">
      <x:c r="A11" s="24" t="str">
        <x:v>R-008</x:v>
      </x:c>
      <x:c r="B11" s="24" t="str">
        <x:v>公众号传播</x:v>
      </x:c>
      <x:c r="C11" s="24" t="str">
        <x:v>公众号稿需从研究腔改为读者可进入的叙述腔。</x:v>
      </x:c>
      <x:c r="D11" s="24" t="str">
        <x:v>V2.8连载稿</x:v>
      </x:c>
      <x:c r="E11" s="24" t="str">
        <x:v>保留证据，减少表格术语。</x:v>
      </x:c>
      <x:c r="F11" s="24" t="str">
        <x:v>二次改写</x:v>
      </x:c>
      <x:c r="G11" s="24" t="str">
        <x:v>中</x:v>
      </x:c>
      <x:c r="H11" s="24" t="str">
        <x:v>待处理</x:v>
      </x:c>
      <x:c r="I11" s="24" t="str"/>
    </x:row>
    <x:row r="12" ht="26.399999618530273" hidden="0" customHeight="1">
      <x:c r="A12" s="24" t="str">
        <x:v>R-009</x:v>
      </x:c>
      <x:c r="B12" s="24" t="str">
        <x:v>成果包边界</x:v>
      </x:c>
      <x:c r="C12" s="24" t="str">
        <x:v>V5.0若同时含网页、表格、PDF、PPT，需明确主入口。</x:v>
      </x:c>
      <x:c r="D12" s="24" t="str">
        <x:v>发布包</x:v>
      </x:c>
      <x:c r="E12" s="24" t="str">
        <x:v>以HTML/PWA为主入口，其他为附录。</x:v>
      </x:c>
      <x:c r="F12" s="24" t="str">
        <x:v>制作成果包目录</x:v>
      </x:c>
      <x:c r="G12" s="24" t="str">
        <x:v>中</x:v>
      </x:c>
      <x:c r="H12" s="24" t="str">
        <x:v>进行中</x:v>
      </x:c>
      <x:c r="I12" s="24" t="str"/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</x:mergeCells>
  <x:conditionalFormatting sqref="G4:G100">
    <x:cfRule type="expression" dxfId="22" priority="1">
      <x:formula>G4="高"</x:formula>
    </x:cfRule>
  </x:conditionalFormatting>
  <x:conditionalFormatting sqref="H4:H100">
    <x:cfRule type="expression" dxfId="23" priority="2">
      <x:formula>H4="已关闭"</x:formula>
    </x:cfRule>
    <x:cfRule type="expression" dxfId="24" priority="3">
      <x:formula>OR(H4="待处理",H4="进行中")</x:formula>
    </x:cfRule>
  </x:conditionalFormatting>
  <x:dataValidations count="2">
    <x:dataValidation type="list" sqref="G4:G100">
      <x:formula1>"高,中,低"</x:formula1>
    </x:dataValidation>
    <x:dataValidation type="list" sqref="H4:H100">
      <x:formula1>"待处理,进行中,已关闭,暂缓"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d84a56dafe4a61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16" hidden="0" customWidth="1"/>
    <x:col min="5" max="5" width="26" hidden="0" customWidth="1"/>
    <x:col min="6" max="6" width="24" hidden="0" customWidth="1"/>
    <x:col min="7" max="7" width="20" hidden="0" customWidth="1"/>
    <x:col min="8" max="8" width="10" hidden="0" customWidth="1"/>
    <x:col min="9" max="9" width="12" hidden="0" customWidth="1"/>
  </x:cols>
  <x:sheetData>
    <x:row r="1" ht="76.80000305175781" hidden="0" customHeight="1">
      <x:c r="A1" s="240" t="str">
        <x:v>《再读西游》V5.0发布版成果包目录规划</x:v>
      </x:c>
      <x:c r="B1" s="240"/>
      <x:c r="C1" s="240"/>
      <x:c r="D1" s="240"/>
      <x:c r="E1" s="240"/>
      <x:c r="F1" s="240"/>
      <x:c r="G1" s="240"/>
      <x:c r="H1" s="240"/>
      <x:c r="I1" s="240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42" t="str">
        <x:v>成果类型</x:v>
      </x:c>
      <x:c r="B3" s="242" t="str">
        <x:v>文件/模块名称</x:v>
      </x:c>
      <x:c r="C3" s="242" t="str">
        <x:v>定位</x:v>
      </x:c>
      <x:c r="D3" s="242" t="str">
        <x:v>来源版本</x:v>
      </x:c>
      <x:c r="E3" s="242" t="str">
        <x:v>V3.0校核动作</x:v>
      </x:c>
      <x:c r="F3" s="242" t="str">
        <x:v>V4.0产品动作</x:v>
      </x:c>
      <x:c r="G3" s="242" t="str">
        <x:v>V5.0交付形态</x:v>
      </x:c>
      <x:c r="H3" s="242" t="str">
        <x:v>优先级</x:v>
      </x:c>
      <x:c r="I3" s="242" t="str">
        <x:v>状态</x:v>
      </x:c>
    </x:row>
    <x:row r="4" ht="26.399999618530273" hidden="0" customHeight="1">
      <x:c r="A4" s="24" t="str">
        <x:v>主入口</x:v>
      </x:c>
      <x:c r="B4" s="24" t="str">
        <x:v>《再读西游｜AI辅助古典名著深读工作台》HTML/PWA</x:v>
      </x:c>
      <x:c r="C4" s="24" t="str">
        <x:v>对外阅读与展示入口</x:v>
      </x:c>
      <x:c r="D4" s="24" t="str">
        <x:v>V2.4/V2.8</x:v>
      </x:c>
      <x:c r="E4" s="24" t="str">
        <x:v>统一底本声明、引用规范</x:v>
      </x:c>
      <x:c r="F4" s="24" t="str">
        <x:v>合并栏目、瘦身交互</x:v>
      </x:c>
      <x:c r="G4" s="24" t="str">
        <x:v>单文件HTML/PWA</x:v>
      </x:c>
      <x:c r="H4" s="24" t="str">
        <x:v>高</x:v>
      </x:c>
      <x:c r="I4" s="24" t="str">
        <x:v>规划中</x:v>
      </x:c>
    </x:row>
    <x:row r="5" ht="26.399999618530273" hidden="0" customHeight="1">
      <x:c r="A5" s="24" t="str">
        <x:v>数据附录</x:v>
      </x:c>
      <x:c r="B5" s="24" t="str">
        <x:v>《再读西游AI研究数据底座V5.0.xlsx》</x:v>
      </x:c>
      <x:c r="C5" s="24" t="str">
        <x:v>可查、可复核的数据底座</x:v>
      </x:c>
      <x:c r="D5" s="24" t="str">
        <x:v>V2.6/V3.0</x:v>
      </x:c>
      <x:c r="E5" s="24" t="str">
        <x:v>校核表格口径、状态字段</x:v>
      </x:c>
      <x:c r="F5" s="24" t="str">
        <x:v>保留附录入口</x:v>
      </x:c>
      <x:c r="G5" s="24" t="str">
        <x:v>Excel附件</x:v>
      </x:c>
      <x:c r="H5" s="24" t="str">
        <x:v>高</x:v>
      </x:c>
      <x:c r="I5" s="24" t="str">
        <x:v>规划中</x:v>
      </x:c>
    </x:row>
    <x:row r="6" ht="26.399999618530273" hidden="0" customHeight="1">
      <x:c r="A6" s="24" t="str">
        <x:v>研究报告</x:v>
      </x:c>
      <x:c r="B6" s="24" t="str">
        <x:v>《再读西游：AI辅助〈西游记〉深读研究报告》</x:v>
      </x:c>
      <x:c r="C6" s="24" t="str">
        <x:v>正式汇报/归档文本</x:v>
      </x:c>
      <x:c r="D6" s="24" t="str">
        <x:v>V2.7/V3.0</x:v>
      </x:c>
      <x:c r="E6" s="24" t="str">
        <x:v>补来源、补声明、统一口径</x:v>
      </x:c>
      <x:c r="F6" s="24" t="str">
        <x:v>排版为PDF</x:v>
      </x:c>
      <x:c r="G6" s="24" t="str">
        <x:v>PDF</x:v>
      </x:c>
      <x:c r="H6" s="24" t="str">
        <x:v>高</x:v>
      </x:c>
      <x:c r="I6" s="24" t="str">
        <x:v>待启动</x:v>
      </x:c>
    </x:row>
    <x:row r="7" ht="15" hidden="0" customHeight="1">
      <x:c r="A7" s="24" t="str">
        <x:v>公众号连载</x:v>
      </x:c>
      <x:c r="B7" s="24" t="str">
        <x:v>第一季6篇公众号稿</x:v>
      </x:c>
      <x:c r="C7" s="24" t="str">
        <x:v>传播与读者入口</x:v>
      </x:c>
      <x:c r="D7" s="24" t="str">
        <x:v>V2.8</x:v>
      </x:c>
      <x:c r="E7" s="24" t="str">
        <x:v>压缩摘录、补导语、加尾注</x:v>
      </x:c>
      <x:c r="F7" s="24" t="str">
        <x:v>做图文版</x:v>
      </x:c>
      <x:c r="G7" s="24" t="str">
        <x:v>Markdown/HTML母稿</x:v>
      </x:c>
      <x:c r="H7" s="24" t="str">
        <x:v>中</x:v>
      </x:c>
      <x:c r="I7" s="24" t="str">
        <x:v>规划中</x:v>
      </x:c>
    </x:row>
    <x:row r="8" ht="15" hidden="0" customHeight="1">
      <x:c r="A8" s="24" t="str">
        <x:v>读书会讲稿</x:v>
      </x:c>
      <x:c r="B8" s="24" t="str">
        <x:v>《少年看神通，再读看心性》</x:v>
      </x:c>
      <x:c r="C8" s="24" t="str">
        <x:v>线下分享/朋友圈传播</x:v>
      </x:c>
      <x:c r="D8" s="24" t="str">
        <x:v>V2.7/V2.8</x:v>
      </x:c>
      <x:c r="E8" s="24" t="str">
        <x:v>提炼主线与金句</x:v>
      </x:c>
      <x:c r="F8" s="24" t="str">
        <x:v>转PPT结构</x:v>
      </x:c>
      <x:c r="G8" s="24" t="str">
        <x:v>PPT/PDF讲稿</x:v>
      </x:c>
      <x:c r="H8" s="24" t="str">
        <x:v>中</x:v>
      </x:c>
      <x:c r="I8" s="24" t="str">
        <x:v>待启动</x:v>
      </x:c>
    </x:row>
    <x:row r="9" ht="15" hidden="0" customHeight="1">
      <x:c r="A9" s="24" t="str">
        <x:v>方法模板</x:v>
      </x:c>
      <x:c r="B9" s="24" t="str">
        <x:v>AI辅助名著深读六步法</x:v>
      </x:c>
      <x:c r="C9" s="24" t="str">
        <x:v>复用到其他名著</x:v>
      </x:c>
      <x:c r="D9" s="24" t="str">
        <x:v>AI方法页</x:v>
      </x:c>
      <x:c r="E9" s="24" t="str">
        <x:v>校核方法边界</x:v>
      </x:c>
      <x:c r="F9" s="24" t="str">
        <x:v>做独立页面</x:v>
      </x:c>
      <x:c r="G9" s="24" t="str">
        <x:v>模板文档</x:v>
      </x:c>
      <x:c r="H9" s="24" t="str">
        <x:v>中</x:v>
      </x:c>
      <x:c r="I9" s="24" t="str">
        <x:v>规划中</x:v>
      </x:c>
    </x:row>
    <x:row r="10" ht="15" hidden="0" customHeight="1">
      <x:c r="A10" s="24" t="str">
        <x:v>素材包</x:v>
      </x:c>
      <x:c r="B10" s="24" t="str">
        <x:v>图谱、矩阵、热力图、配图建议</x:v>
      </x:c>
      <x:c r="C10" s="24" t="str">
        <x:v>辅助发布</x:v>
      </x:c>
      <x:c r="D10" s="24" t="str">
        <x:v>V2.3/V2.4</x:v>
      </x:c>
      <x:c r="E10" s="24" t="str">
        <x:v>精选图表</x:v>
      </x:c>
      <x:c r="F10" s="24" t="str">
        <x:v>导出PNG/SVG</x:v>
      </x:c>
      <x:c r="G10" s="24" t="str">
        <x:v>图片包</x:v>
      </x:c>
      <x:c r="H10" s="24" t="str">
        <x:v>中</x:v>
      </x:c>
      <x:c r="I10" s="24" t="str">
        <x:v>待启动</x:v>
      </x:c>
    </x:row>
    <x:row r="11" ht="15" hidden="0" customHeight="1">
      <x:c r="A11" s="24"/>
      <x:c r="B11" s="24"/>
      <x:c r="C11" s="24"/>
      <x:c r="D11" s="24"/>
      <x:c r="E11" s="24"/>
      <x:c r="F11" s="24"/>
      <x:c r="G11" s="24"/>
      <x:c r="H11" s="24"/>
      <x:c r="I11" s="24"/>
    </x:row>
    <x:row r="12" ht="15" hidden="0" customHeight="1">
      <x:c r="A12" s="242" t="str">
        <x:v>V3.0到V5.0路线</x:v>
      </x:c>
      <x:c r="B12" s="242" t="str">
        <x:v>核心动作</x:v>
      </x:c>
      <x:c r="C12" s="242" t="str">
        <x:v>不做事项</x:v>
      </x:c>
      <x:c r="D12" s="242" t="str">
        <x:v>验收标准</x:v>
      </x:c>
      <x:c r="E12" s="242" t="str"/>
      <x:c r="F12" s="242" t="str"/>
      <x:c r="G12" s="242" t="str"/>
      <x:c r="H12" s="242" t="str"/>
      <x:c r="I12" s="242" t="str"/>
    </x:row>
    <x:row r="13" ht="26.399999618530273" hidden="0" customHeight="1">
      <x:c r="A13" s="24" t="str">
        <x:v>V3.0 校核版</x:v>
      </x:c>
      <x:c r="B13" s="24" t="str">
        <x:v>统一口径、校核八十一难、规范引用、列出风险清单</x:v>
      </x:c>
      <x:c r="C13" s="24" t="str">
        <x:v>不新增功能、不继续堆页面</x:v>
      </x:c>
      <x:c r="D13" s="24" t="str">
        <x:v>表格可审、问题可追踪</x:v>
      </x:c>
      <x:c r="E13" s="24" t="str"/>
      <x:c r="F13" s="24" t="str"/>
      <x:c r="G13" s="24" t="str"/>
      <x:c r="H13" s="24" t="str"/>
      <x:c r="I13" s="24" t="str"/>
    </x:row>
    <x:row r="14" ht="26.399999618530273" hidden="0" customHeight="1">
      <x:c r="A14" s="24" t="str">
        <x:v>V4.0 产品版</x:v>
      </x:c>
      <x:c r="B14" s="24" t="str">
        <x:v>合并主入口、优化移动端、减少冗余栏目</x:v>
      </x:c>
      <x:c r="C14" s="24" t="str">
        <x:v>不加后台、不做账号、不接复杂数据库</x:v>
      </x:c>
      <x:c r="D14" s="24" t="str">
        <x:v>手机端可读、栏目清晰</x:v>
      </x:c>
      <x:c r="E14" s="24" t="str"/>
      <x:c r="F14" s="24" t="str"/>
      <x:c r="G14" s="24" t="str"/>
      <x:c r="H14" s="24" t="str"/>
      <x:c r="I14" s="24" t="str"/>
    </x:row>
    <x:row r="15" ht="26.399999618530273" hidden="0" customHeight="1">
      <x:c r="A15" s="24" t="str">
        <x:v>V4.5 预发布版</x:v>
      </x:c>
      <x:c r="B15" s="24" t="str">
        <x:v>统一视觉、声明、PDF导出、文件命名</x:v>
      </x:c>
      <x:c r="C15" s="24" t="str">
        <x:v>不扩展新研究专题</x:v>
      </x:c>
      <x:c r="D15" s="24" t="str">
        <x:v>发给他人可理解</x:v>
      </x:c>
      <x:c r="E15" s="24" t="str"/>
      <x:c r="F15" s="24" t="str"/>
      <x:c r="G15" s="24" t="str"/>
      <x:c r="H15" s="24" t="str"/>
      <x:c r="I15" s="24" t="str"/>
    </x:row>
    <x:row r="16" ht="26.399999618530273" hidden="0" customHeight="1">
      <x:c r="A16" s="24" t="str">
        <x:v>V5.0 发布版</x:v>
      </x:c>
      <x:c r="B16" s="24" t="str">
        <x:v>HTML/PWA+Excel+PDF+公众号稿+方法模板打包</x:v>
      </x:c>
      <x:c r="C16" s="24" t="str">
        <x:v>不以单一网页冒充成果包</x:v>
      </x:c>
      <x:c r="D16" s="24" t="str">
        <x:v>可公开展示、可长期复用</x:v>
      </x:c>
      <x:c r="E16" s="24" t="str"/>
      <x:c r="F16" s="24" t="str"/>
      <x:c r="G16" s="24" t="str"/>
      <x:c r="H16" s="24" t="str"/>
      <x:c r="I16" s="24" t="str"/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</x:mergeCells>
  <x:conditionalFormatting sqref="I4:I10">
    <x:cfRule type="expression" dxfId="25" priority="1">
      <x:formula>I4="已完成"</x:formula>
    </x:cfRule>
    <x:cfRule type="expression" dxfId="26" priority="2">
      <x:formula>OR(I4="规划中",I4="进行中")</x:formula>
    </x:cfRule>
    <x:cfRule type="expression" dxfId="27" priority="3">
      <x:formula>I4="待启动"</x:formula>
    </x:cfRule>
  </x:conditionalFormatting>
  <x:dataValidations count="2">
    <x:dataValidation type="list" sqref="H4:H10">
      <x:formula1>"高,中,低"</x:formula1>
    </x:dataValidation>
    <x:dataValidation type="list" sqref="I4:I10">
      <x:formula1>"待启动,规划中,进行中,已完成"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ff79a81daa42c9"/>
  </x:tableParts>
</x:worksheet>
</file>